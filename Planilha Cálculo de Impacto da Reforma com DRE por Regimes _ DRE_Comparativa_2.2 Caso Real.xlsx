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\OneDrive\Desktop\"/>
    </mc:Choice>
  </mc:AlternateContent>
  <xr:revisionPtr revIDLastSave="0" documentId="8_{AB2AF9E4-F7F3-4A21-B390-E4D34B5B0F44}" xr6:coauthVersionLast="47" xr6:coauthVersionMax="47" xr10:uidLastSave="{00000000-0000-0000-0000-000000000000}"/>
  <workbookProtection lockStructure="1"/>
  <bookViews>
    <workbookView xWindow="3240" yWindow="3240" windowWidth="21600" windowHeight="11385" xr2:uid="{00000000-000D-0000-FFFF-FFFF00000000}"/>
  </bookViews>
  <sheets>
    <sheet name="LUCRO REAL" sheetId="1" r:id="rId1"/>
    <sheet name="LUCRO PRESUMIDO" sheetId="3" r:id="rId2"/>
    <sheet name="SIMPLES NACIONAL (IBS-CBS)" sheetId="5" r:id="rId3"/>
    <sheet name="SIMP, NACIONAL sem créd IBS" sheetId="4" r:id="rId4"/>
    <sheet name="COMPARATIVO" sheetId="6" r:id="rId5"/>
  </sheets>
  <definedNames>
    <definedName name="_xlnm.Print_Area" localSheetId="1">'LUCRO PRESUMIDO'!$A$1:$G$27</definedName>
    <definedName name="_xlnm.Print_Area" localSheetId="0">'LUCRO REAL'!$A$1:$G$26</definedName>
    <definedName name="_xlnm.Print_Area" localSheetId="3">'SIMP, NACIONAL sem créd IBS'!$A$1:$G$27</definedName>
    <definedName name="_xlnm.Print_Area" localSheetId="2">'SIMPLES NACIONAL (IBS-CBS)'!$A$1:$G$29</definedName>
  </definedNames>
  <calcPr calcId="191029"/>
</workbook>
</file>

<file path=xl/calcChain.xml><?xml version="1.0" encoding="utf-8"?>
<calcChain xmlns="http://schemas.openxmlformats.org/spreadsheetml/2006/main">
  <c r="F5" i="1" l="1"/>
  <c r="F4" i="1"/>
  <c r="F7" i="6"/>
  <c r="F8" i="6" s="1"/>
  <c r="F10" i="6" s="1"/>
  <c r="C7" i="6"/>
  <c r="B7" i="5"/>
  <c r="B7" i="4"/>
  <c r="F14" i="6" l="1"/>
  <c r="F12" i="6"/>
  <c r="F16" i="6" s="1"/>
  <c r="C8" i="6" l="1"/>
  <c r="C10" i="6" s="1"/>
  <c r="C14" i="6" l="1"/>
  <c r="C12" i="6"/>
  <c r="C16" i="6" s="1"/>
  <c r="E11" i="4"/>
  <c r="E7" i="1"/>
  <c r="E3" i="3" s="1"/>
  <c r="B10" i="5" s="1"/>
  <c r="B9" i="4" s="1"/>
  <c r="B8" i="1"/>
  <c r="B9" i="3" s="1"/>
  <c r="B11" i="5" s="1"/>
  <c r="B10" i="4" s="1"/>
  <c r="G10" i="4"/>
  <c r="C12" i="5"/>
  <c r="C7" i="3"/>
  <c r="C10" i="3"/>
  <c r="B8" i="3"/>
  <c r="B8" i="5" s="1"/>
  <c r="B8" i="4" s="1"/>
  <c r="E5" i="3"/>
  <c r="E4" i="5" s="1"/>
  <c r="E4" i="4" s="1"/>
  <c r="E4" i="3"/>
  <c r="E3" i="5" s="1"/>
  <c r="B5" i="3"/>
  <c r="B5" i="5" s="1"/>
  <c r="B5" i="4" s="1"/>
  <c r="B4" i="3"/>
  <c r="B4" i="5" s="1"/>
  <c r="B4" i="4" s="1"/>
  <c r="G4" i="1"/>
  <c r="E3" i="4" l="1"/>
  <c r="B18" i="4" s="1"/>
  <c r="B20" i="5"/>
  <c r="N12" i="1"/>
  <c r="O12" i="1" s="1"/>
  <c r="O13" i="1" s="1"/>
  <c r="K25" i="1"/>
  <c r="J25" i="1"/>
  <c r="I25" i="1"/>
  <c r="K18" i="5"/>
  <c r="K19" i="5" s="1"/>
  <c r="J18" i="5"/>
  <c r="J19" i="5" s="1"/>
  <c r="B3" i="5"/>
  <c r="B24" i="5" s="1"/>
  <c r="K16" i="4"/>
  <c r="K17" i="4" s="1"/>
  <c r="K16" i="3"/>
  <c r="K17" i="3" s="1"/>
  <c r="B18" i="3"/>
  <c r="B17" i="1"/>
  <c r="J15" i="1"/>
  <c r="J16" i="1" s="1"/>
  <c r="K15" i="1"/>
  <c r="I3" i="1"/>
  <c r="F3" i="1" s="1"/>
  <c r="E6" i="3" s="1"/>
  <c r="E5" i="5" s="1"/>
  <c r="E5" i="4" s="1"/>
  <c r="I16" i="4" s="1"/>
  <c r="I17" i="4" s="1"/>
  <c r="J16" i="3"/>
  <c r="J17" i="3" s="1"/>
  <c r="H22" i="3"/>
  <c r="I16" i="3" l="1"/>
  <c r="I17" i="3" s="1"/>
  <c r="J16" i="4"/>
  <c r="J17" i="4" s="1"/>
  <c r="I18" i="5"/>
  <c r="I19" i="5" s="1"/>
  <c r="I20" i="5" s="1"/>
  <c r="D22" i="5" s="1"/>
  <c r="K16" i="1"/>
  <c r="K17" i="1" s="1"/>
  <c r="K18" i="1" s="1"/>
  <c r="K19" i="1" s="1"/>
  <c r="B22" i="5"/>
  <c r="J18" i="4"/>
  <c r="K20" i="5"/>
  <c r="J20" i="5"/>
  <c r="B17" i="5"/>
  <c r="B18" i="5"/>
  <c r="D24" i="5"/>
  <c r="B6" i="5"/>
  <c r="I18" i="4"/>
  <c r="I19" i="4" s="1"/>
  <c r="K18" i="4"/>
  <c r="K19" i="4" s="1"/>
  <c r="J17" i="1"/>
  <c r="I15" i="1"/>
  <c r="K18" i="3"/>
  <c r="K19" i="3" s="1"/>
  <c r="J18" i="3"/>
  <c r="B3" i="4"/>
  <c r="H23" i="3"/>
  <c r="B3" i="3"/>
  <c r="B6" i="1"/>
  <c r="B19" i="1"/>
  <c r="B15" i="1"/>
  <c r="B14" i="1"/>
  <c r="I18" i="3" l="1"/>
  <c r="D20" i="3" s="1"/>
  <c r="C18" i="5"/>
  <c r="B22" i="4"/>
  <c r="B20" i="4"/>
  <c r="C22" i="5"/>
  <c r="C20" i="5"/>
  <c r="K21" i="5"/>
  <c r="K22" i="5" s="1"/>
  <c r="J21" i="5"/>
  <c r="J22" i="5" s="1"/>
  <c r="D20" i="5"/>
  <c r="J19" i="4"/>
  <c r="J20" i="4" s="1"/>
  <c r="I21" i="5"/>
  <c r="I22" i="5" s="1"/>
  <c r="B19" i="5"/>
  <c r="C17" i="5"/>
  <c r="C24" i="5"/>
  <c r="I20" i="4"/>
  <c r="D20" i="4" s="1"/>
  <c r="K20" i="4"/>
  <c r="I16" i="1"/>
  <c r="I17" i="1" s="1"/>
  <c r="D17" i="1"/>
  <c r="J18" i="1"/>
  <c r="J19" i="1" s="1"/>
  <c r="D18" i="3"/>
  <c r="J19" i="3"/>
  <c r="J20" i="3" s="1"/>
  <c r="K20" i="3"/>
  <c r="I19" i="3"/>
  <c r="I20" i="3" s="1"/>
  <c r="H25" i="3"/>
  <c r="B22" i="3" s="1"/>
  <c r="B16" i="4"/>
  <c r="B15" i="4"/>
  <c r="D22" i="4"/>
  <c r="B6" i="4"/>
  <c r="B16" i="3"/>
  <c r="B6" i="3"/>
  <c r="B20" i="3"/>
  <c r="B15" i="3"/>
  <c r="C15" i="3" s="1"/>
  <c r="C15" i="1"/>
  <c r="B16" i="1"/>
  <c r="C17" i="1"/>
  <c r="C14" i="1"/>
  <c r="C19" i="1"/>
  <c r="D18" i="4" l="1"/>
  <c r="C15" i="4"/>
  <c r="D15" i="4"/>
  <c r="D16" i="4" s="1"/>
  <c r="D17" i="5"/>
  <c r="C19" i="5"/>
  <c r="B21" i="5"/>
  <c r="D19" i="1"/>
  <c r="I18" i="1"/>
  <c r="I19" i="1" s="1"/>
  <c r="D22" i="3"/>
  <c r="C20" i="4"/>
  <c r="C18" i="4"/>
  <c r="C22" i="4"/>
  <c r="B17" i="4"/>
  <c r="C16" i="4"/>
  <c r="C20" i="3"/>
  <c r="C16" i="3"/>
  <c r="B17" i="3"/>
  <c r="B19" i="3" s="1"/>
  <c r="C18" i="3"/>
  <c r="C16" i="1"/>
  <c r="B18" i="1"/>
  <c r="D14" i="1"/>
  <c r="E17" i="1" s="1"/>
  <c r="E15" i="4" l="1"/>
  <c r="B23" i="5"/>
  <c r="C21" i="5"/>
  <c r="E18" i="5"/>
  <c r="E17" i="5"/>
  <c r="D19" i="5"/>
  <c r="E20" i="5"/>
  <c r="E22" i="5"/>
  <c r="E24" i="5"/>
  <c r="E22" i="4"/>
  <c r="B19" i="4"/>
  <c r="C19" i="4" s="1"/>
  <c r="E18" i="4"/>
  <c r="E16" i="4"/>
  <c r="E20" i="4"/>
  <c r="C17" i="4"/>
  <c r="D17" i="4"/>
  <c r="E17" i="4" s="1"/>
  <c r="D15" i="3"/>
  <c r="D17" i="3" s="1"/>
  <c r="C17" i="3"/>
  <c r="B21" i="3"/>
  <c r="B23" i="3" s="1"/>
  <c r="C19" i="3"/>
  <c r="E15" i="1"/>
  <c r="E19" i="1"/>
  <c r="D16" i="1"/>
  <c r="E16" i="1" s="1"/>
  <c r="E14" i="1"/>
  <c r="C18" i="1"/>
  <c r="B20" i="1"/>
  <c r="B21" i="1" s="1"/>
  <c r="D21" i="5" l="1"/>
  <c r="E19" i="5"/>
  <c r="B25" i="5"/>
  <c r="C25" i="5" s="1"/>
  <c r="C23" i="5"/>
  <c r="B21" i="4"/>
  <c r="B23" i="4" s="1"/>
  <c r="C23" i="4" s="1"/>
  <c r="D19" i="4"/>
  <c r="D21" i="4" s="1"/>
  <c r="E21" i="4" s="1"/>
  <c r="E20" i="3"/>
  <c r="E18" i="3"/>
  <c r="E16" i="3"/>
  <c r="E15" i="3"/>
  <c r="E17" i="3"/>
  <c r="C22" i="3"/>
  <c r="C21" i="3"/>
  <c r="D18" i="1"/>
  <c r="C21" i="1"/>
  <c r="C20" i="1"/>
  <c r="E21" i="5" l="1"/>
  <c r="D23" i="5"/>
  <c r="D19" i="3"/>
  <c r="E19" i="3" s="1"/>
  <c r="C21" i="4"/>
  <c r="D23" i="4"/>
  <c r="A25" i="4" s="1"/>
  <c r="E19" i="4"/>
  <c r="E18" i="1"/>
  <c r="D20" i="1"/>
  <c r="D21" i="1" s="1"/>
  <c r="D22" i="1" s="1"/>
  <c r="C23" i="3"/>
  <c r="B22" i="1"/>
  <c r="E23" i="5" l="1"/>
  <c r="D25" i="5"/>
  <c r="D21" i="3"/>
  <c r="E21" i="3" s="1"/>
  <c r="E23" i="4"/>
  <c r="E20" i="1"/>
  <c r="E22" i="3"/>
  <c r="C22" i="1"/>
  <c r="A27" i="5" l="1"/>
  <c r="E25" i="5"/>
  <c r="D23" i="3"/>
  <c r="A25" i="3" s="1"/>
  <c r="E21" i="1"/>
  <c r="E22" i="1"/>
  <c r="A24" i="1"/>
  <c r="E2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3" authorId="0" shapeId="0" xr:uid="{5D41AF5D-BA7E-C348-B773-B89211134846}">
      <text>
        <r>
          <rPr>
            <sz val="10"/>
            <color rgb="FF000000"/>
            <rFont val="Tahoma"/>
            <family val="2"/>
          </rPr>
          <t xml:space="preserve">Total Produtos + Serviços
</t>
        </r>
      </text>
    </comment>
    <comment ref="C5" authorId="0" shapeId="0" xr:uid="{D53726C0-C0BD-D64D-89EC-A4318495B270}">
      <text>
        <r>
          <rPr>
            <sz val="10"/>
            <color rgb="FF000000"/>
            <rFont val="Tahoma"/>
            <family val="2"/>
          </rPr>
          <t>Adicione aqui a carga tributária total não a alíquota dos impostos (Divida esses impostos pagos (o valor da guia deles), pelo faturamento (serviço+produto) x 100.</t>
        </r>
      </text>
    </comment>
    <comment ref="B7" authorId="0" shapeId="0" xr:uid="{4C564DE8-2D2F-E249-9D38-0B64535664E6}">
      <text>
        <r>
          <rPr>
            <sz val="10"/>
            <color rgb="FF000000"/>
            <rFont val="Tahoma"/>
            <family val="2"/>
          </rPr>
          <t xml:space="preserve">Considero que a diferença entre 100% e esse percentual seja Folha de Pagto.
</t>
        </r>
      </text>
    </comment>
    <comment ref="E7" authorId="0" shapeId="0" xr:uid="{E6C0DB42-EF06-CD40-9988-536725710E38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despesas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B8" authorId="0" shapeId="0" xr:uid="{3BC2AD66-6568-B148-B1ED-7DE0B158B20A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COMPRAS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B9" authorId="0" shapeId="0" xr:uid="{6AA6FD17-8CAD-A047-9AB4-C737ACD2F694}">
      <text>
        <r>
          <rPr>
            <sz val="10"/>
            <color rgb="FF000000"/>
            <rFont val="Tahoma"/>
            <family val="2"/>
          </rPr>
          <t>Verifique se o seu setor tem Redução de B.C. E multiplique a base pela alíquota do CBS/IBS. Ex: Serviços Profisisonais B.C. 70% x 27% = Alíquota CBS/IBS: 18,90%</t>
        </r>
      </text>
    </comment>
    <comment ref="L16" authorId="0" shapeId="0" xr:uid="{C99ADFCA-ADB2-FD42-8E2A-A11220D1C423}">
      <text>
        <r>
          <rPr>
            <sz val="10"/>
            <color rgb="FF000000"/>
            <rFont val="Tahoma"/>
            <family val="2"/>
          </rPr>
          <t>(Estou considerando bases diferentes para dedução dos impostos sobre CMV e CSV, poisno caso do CMV reduz os mesmos impostos que a empresa informou para seus produtos/serviços , e no caso dos serviços, reduzindo os impostos sobre tudo que não e mão de obra (a diferença entre 100% e o percentual informado com direito a crédito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3" authorId="0" shapeId="0" xr:uid="{45F57EEA-3980-B242-9C51-446462FD09FC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despesas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B5" authorId="0" shapeId="0" xr:uid="{A5385DF1-0280-164A-BF74-3EA8915532A5}">
      <text>
        <r>
          <rPr>
            <sz val="10"/>
            <color rgb="FF000000"/>
            <rFont val="Tahoma"/>
            <family val="2"/>
          </rPr>
          <t>Caso seu serviço tenha base de cálculo de 8% utilize a área de Produto pra coloar o faturamento. Ex: Serviços Médicos Hospitalares, Construtoras, Laboratórios enquadrados etc. Se voce for empresário consulte seu contador.</t>
        </r>
      </text>
    </comment>
    <comment ref="C7" authorId="0" shapeId="0" xr:uid="{FB333A96-A9F7-5A45-A19E-F09376344A2A}">
      <text>
        <r>
          <rPr>
            <b/>
            <sz val="10"/>
            <color rgb="FF000000"/>
            <rFont val="Tahoma"/>
            <family val="2"/>
          </rPr>
          <t xml:space="preserve">IMPOSTOS DO LUCRO PRESUMIDO: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negócio. 
</t>
        </r>
        <r>
          <rPr>
            <b/>
            <sz val="10"/>
            <color rgb="FF000000"/>
            <rFont val="Tahoma"/>
            <family val="2"/>
          </rPr>
          <t>PIS E COFINS: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ISSQN ATÉ     :</t>
        </r>
        <r>
          <rPr>
            <sz val="10"/>
            <color rgb="FF000000"/>
            <rFont val="Tahoma"/>
            <family val="2"/>
          </rPr>
          <t xml:space="preserve"> 5,00% (ISSQN : s/ fat.Serv+Prod)
</t>
        </r>
        <r>
          <rPr>
            <b/>
            <sz val="10"/>
            <color rgb="FF000000"/>
            <rFont val="Tahoma"/>
            <family val="2"/>
          </rPr>
          <t>ISSQN (</t>
        </r>
        <r>
          <rPr>
            <sz val="10"/>
            <color rgb="FF000000"/>
            <rFont val="Tahoma"/>
            <family val="2"/>
          </rPr>
          <t>Atenção: Divida pelo faturamento total, caso tenha também produtos, para que fique correta a carga tributária de iss s/ o faturamento total, para fins de facilitar no cálculo).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ICMS: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i/>
            <sz val="10"/>
            <color rgb="FF000000"/>
            <rFont val="Tahoma"/>
            <family val="2"/>
          </rPr>
          <t xml:space="preserve">Não lance a alíquota, mas sim o percentual 
</t>
        </r>
        <r>
          <rPr>
            <i/>
            <sz val="10"/>
            <color rgb="FF000000"/>
            <rFont val="Tahoma"/>
            <family val="2"/>
          </rPr>
          <t xml:space="preserve">de carga tributária do ICMS (o valor da guia dividido pelo faturamento TOTAL (incluindo serviços) x 100) 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(se aplica a mesma regra do icms)</t>
        </r>
      </text>
    </comment>
    <comment ref="B9" authorId="0" shapeId="0" xr:uid="{0207A00C-E387-554D-9E27-B2040AF9BB62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COMPRAS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C10" authorId="0" shapeId="0" xr:uid="{DF366617-2D5A-5541-922A-4F61F47FD89E}">
      <text>
        <r>
          <rPr>
            <sz val="10"/>
            <color rgb="FF000000"/>
            <rFont val="Tahoma"/>
            <family val="2"/>
          </rPr>
          <t>Verifique se o seu setor tem Redução de B.C. E multiplique a base pela alíquota do CBS/IBS. Ex: Serviços Profisisonais B.C. 70% x 27% = Alíquota CBS/IBS: 18,90%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5" authorId="0" shapeId="0" xr:uid="{A3549A26-BC98-AD48-B46A-A62EA5D89B84}">
      <text>
        <r>
          <rPr>
            <sz val="10"/>
            <color rgb="FF000000"/>
            <rFont val="Tahoma"/>
            <family val="2"/>
          </rPr>
          <t>Caso seu serviço tenha base de cálculo de 8% utilize a área de Produto pra coloar o faturamento. Ex: Serviços Médicos Hospitalares, Construtoras, Laboratórios enquadrados etc. Se voce for empresário consulte seu contador.</t>
        </r>
      </text>
    </comment>
    <comment ref="E6" authorId="0" shapeId="0" xr:uid="{20E2C8C5-A04C-A449-B09A-5B7DE1C6C889}">
      <text>
        <r>
          <rPr>
            <sz val="10"/>
            <color rgb="FF000000"/>
            <rFont val="Tahoma"/>
            <family val="2"/>
          </rPr>
          <t>Caso vc nao tenha o extrato do simples coloque seu faturamento anual neste site, e o faturamento mensal depois escolha o ANEXO III para Serviços ou I para comércio. Caso nao saiba qual pergunte ao seu cotador pois há exceções.</t>
        </r>
      </text>
    </comment>
    <comment ref="B7" authorId="0" shapeId="0" xr:uid="{12E672BD-07D2-A945-93FE-7E82428713BA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faturamento, inclusive ISS e ICMS ou IPI (para não ficar com uma carga errada).
</t>
        </r>
        <r>
          <rPr>
            <b/>
            <sz val="10"/>
            <color rgb="FF000000"/>
            <rFont val="Tahoma"/>
            <family val="2"/>
          </rPr>
          <t>PIS E COFINS: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000000"/>
            <rFont val="Tahoma"/>
            <family val="2"/>
          </rPr>
          <t>ISSQN     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000000"/>
            <rFont val="Tahoma"/>
            <family val="2"/>
          </rPr>
          <t>ICMS:</t>
        </r>
        <r>
          <rPr>
            <sz val="10"/>
            <color rgb="FF000000"/>
            <rFont val="Tahoma"/>
            <family val="2"/>
          </rPr>
          <t xml:space="preserve"> Extrato do Simples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: Extrato do Simples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IRPJ, CSSL E CPP (INSS) INFORME NOS OUTROS CAMPOS PRÓPRIOS DESTA PLANILHA À DIREITA.</t>
        </r>
      </text>
    </comment>
    <comment ref="E7" authorId="0" shapeId="0" xr:uid="{1F1D85A7-8994-B144-A407-EBDB9BDD15CA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IRPJ: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PIS, COFINS, ICMS, ISSQN, IPI, CPP (INSS) CSSL E CPP (INSS) INFORME NOS OUTROS CAMPOS PRÓPRIOS DESTA PLANILHA À ESQUERDA E ABAIXO.</t>
        </r>
      </text>
    </comment>
    <comment ref="E8" authorId="0" shapeId="0" xr:uid="{14F7D778-C345-434A-8DF8-C8364D80A952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
</t>
        </r>
        <r>
          <rPr>
            <b/>
            <sz val="10"/>
            <color rgb="FF000000"/>
            <rFont val="Tahoma"/>
            <family val="2"/>
          </rPr>
          <t>CSSL: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PIS, COFINS, ICMS, ISSQN, IPI, CPP (INSS) CSSL E CPP (INSS) INFORME NOS OUTROS CAMPOS PRÓPRIOS DESTA PLANILHA À ESQUERDA E ABAIXO.</t>
        </r>
      </text>
    </comment>
    <comment ref="E9" authorId="0" shapeId="0" xr:uid="{0BCB7E68-B9B1-E84F-BCF6-AA198F2D5126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
</t>
        </r>
        <r>
          <rPr>
            <i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CPP/INSS: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FF0000"/>
            <rFont val="Tahoma"/>
            <family val="2"/>
          </rPr>
          <t xml:space="preserve">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PIS, COFINS, ICMS, ISSQN, IPI, CPP (INSS) CSSL E CPP (INSS) INFORME NOS OUTROS CAMPOS PRÓPRIOS DESTA PLANILHA À ESQUERDA.</t>
        </r>
      </text>
    </comment>
    <comment ref="B10" authorId="0" shapeId="0" xr:uid="{669AB847-6B78-234D-AE94-022D3BD0F68E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despesas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B11" authorId="0" shapeId="0" xr:uid="{BED213BC-B738-B94E-B89B-EE55B5AA04F8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COMPRAS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C12" authorId="0" shapeId="0" xr:uid="{92F6757B-AFB2-EE44-8E60-6B4AE478A5F3}">
      <text>
        <r>
          <rPr>
            <sz val="10"/>
            <color rgb="FF000000"/>
            <rFont val="Tahoma"/>
            <family val="2"/>
          </rPr>
          <t>Verifique se o seu setor tem Redução de B.C. E multiplique a base pela alíquota do CBS/IBS. Ex: Serviços Profisisonais B.C. 70% x 27% = Alíquota CBS/IBS: 18,90%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5" authorId="0" shapeId="0" xr:uid="{737C6DC6-FFEB-A746-9E69-21F5E7564901}">
      <text>
        <r>
          <rPr>
            <sz val="10"/>
            <color rgb="FF000000"/>
            <rFont val="Tahoma"/>
            <family val="2"/>
          </rPr>
          <t>Caso seu serviço tenha base de cálculo de 8% utilize a área de Produto pra coloar o faturamento. Ex: Serviços Médicos Hospitalares, Construtoras, Laboratórios enquadrados etc. Se voce for empresário consulte seu contador.</t>
        </r>
      </text>
    </comment>
    <comment ref="E6" authorId="0" shapeId="0" xr:uid="{9D480DA0-FE6C-0D4B-8CFF-62DFD26D0FAC}">
      <text>
        <r>
          <rPr>
            <sz val="10"/>
            <color rgb="FF000000"/>
            <rFont val="Tahoma"/>
            <family val="2"/>
          </rPr>
          <t>Caso vc nao tenha o extrato do simples coloque seu faturamento anual neste site, e o faturamento mensal depois escolha o ANEXO III para Serviços ou I para comércio. Caso nao saiba qual pergunte ao seu cotador pois há exceções.</t>
        </r>
      </text>
    </comment>
    <comment ref="B7" authorId="0" shapeId="0" xr:uid="{33F1EA0B-65D8-4444-8FEA-CCD892FBD19E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faturamento, inclusive ISS e ICMS ou IPI (para não ficar com uma carga errada).
</t>
        </r>
        <r>
          <rPr>
            <b/>
            <sz val="10"/>
            <color rgb="FF000000"/>
            <rFont val="Tahoma"/>
            <family val="2"/>
          </rPr>
          <t>PIS E COFINS: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000000"/>
            <rFont val="Tahoma"/>
            <family val="2"/>
          </rPr>
          <t>ISSQN     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000000"/>
            <rFont val="Tahoma"/>
            <family val="2"/>
          </rPr>
          <t>ICMS:</t>
        </r>
        <r>
          <rPr>
            <sz val="10"/>
            <color rgb="FF000000"/>
            <rFont val="Tahoma"/>
            <family val="2"/>
          </rPr>
          <t xml:space="preserve"> Extrato do Simples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: Extrato do Simples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IRPJ, CSSL E CPP (INSS) INFORME NOS OUTROS CAMPOS PRÓPRIOS DESTA PLANILHA À DIREITA.</t>
        </r>
      </text>
    </comment>
    <comment ref="E7" authorId="0" shapeId="0" xr:uid="{C9CA22A3-994D-CF48-82C5-AF3B3B7C04F0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IRPJ: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PIS, COFINS, ICMS, ISSQN, IPI, CPP (INSS) CSSL E CPP (INSS) INFORME NOS OUTROS CAMPOS PRÓPRIOS DESTA PLANILHA À ESQUERDA E ABAIXO.</t>
        </r>
      </text>
    </comment>
    <comment ref="E8" authorId="0" shapeId="0" xr:uid="{BA233D29-6C61-4A4D-BBE8-B2572C45144E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
</t>
        </r>
        <r>
          <rPr>
            <b/>
            <sz val="10"/>
            <color rgb="FF000000"/>
            <rFont val="Tahoma"/>
            <family val="2"/>
          </rPr>
          <t>CSSL: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PIS, COFINS, ICMS, ISSQN, IPI, CPP (INSS) CSSL E CPP (INSS) INFORME NOS OUTROS CAMPOS PRÓPRIOS DESTA PLANILHA À ESQUERDA E ABAIXO.</t>
        </r>
      </text>
    </comment>
    <comment ref="B9" authorId="0" shapeId="0" xr:uid="{0043E06B-BD38-B14F-9B18-A8ED51092391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despesas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E9" authorId="0" shapeId="0" xr:uid="{5E967D96-DDD9-1444-B295-0BBEDBE93F77}">
      <text>
        <r>
          <rPr>
            <b/>
            <sz val="10"/>
            <color rgb="FF000000"/>
            <rFont val="Tahoma"/>
            <family val="2"/>
          </rPr>
          <t xml:space="preserve">IMPOSTOS DO SIMPLES NACIONAL:
</t>
        </r>
        <r>
          <rPr>
            <i/>
            <sz val="10"/>
            <color rgb="FF000000"/>
            <rFont val="Tahoma"/>
            <family val="2"/>
          </rPr>
          <t xml:space="preserve">Veja os percentuais que se aplicam ao seu negócio, DENTRO DO EXTRATO DO SIMPLES NACIONAL, PEGANDO O VALOR DE CADA IMPOSTO E DIVIDINDO PELO FATURAMENTO TOTAL DA SUA EMPRESA. Obs: Se tiver Comércio e Serviço divida todos os impostos sobre a soma total do faturamento
</t>
        </r>
        <r>
          <rPr>
            <i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CPP/INSS:</t>
        </r>
        <r>
          <rPr>
            <sz val="10"/>
            <color rgb="FF000000"/>
            <rFont val="Tahoma"/>
            <family val="2"/>
          </rPr>
          <t xml:space="preserve"> ? Extrato do Simples
</t>
        </r>
        <r>
          <rPr>
            <b/>
            <sz val="10"/>
            <color rgb="FFFF0000"/>
            <rFont val="Tahoma"/>
            <family val="2"/>
          </rPr>
          <t xml:space="preserve">
</t>
        </r>
        <r>
          <rPr>
            <b/>
            <sz val="10"/>
            <color rgb="FFFF0000"/>
            <rFont val="Tahoma"/>
            <family val="2"/>
          </rPr>
          <t>(NÃO INCLUA AQUI ESTES)-&gt;</t>
        </r>
        <r>
          <rPr>
            <b/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PARA O PIS, COFINS, ICMS, ISSQN, IPI, CPP (INSS) CSSL E CPP (INSS) INFORME NOS OUTROS CAMPOS PRÓPRIOS DESTA PLANILHA À ESQUERDA.</t>
        </r>
      </text>
    </comment>
    <comment ref="B10" authorId="0" shapeId="0" xr:uid="{A860C8A8-993E-2247-8698-907285894852}">
      <text>
        <r>
          <rPr>
            <sz val="10"/>
            <color rgb="FF000000"/>
            <rFont val="Tahoma"/>
            <family val="2"/>
          </rPr>
          <t xml:space="preserve">Coloque aqui um média de redução de ICMS/ISS/PIS/COFINS/IPI sobre as COMPRAS da sua empresa. Como normalmente é a carga tributária dos seus fornecedores, e isso pode variar, é preciso fazer uma média. Vou sugerir:
</t>
        </r>
        <r>
          <rPr>
            <b/>
            <sz val="10"/>
            <color rgb="FF000000"/>
            <rFont val="Tahoma"/>
            <family val="2"/>
          </rPr>
          <t>ICMS</t>
        </r>
        <r>
          <rPr>
            <sz val="10"/>
            <color rgb="FF000000"/>
            <rFont val="Tahoma"/>
            <family val="2"/>
          </rPr>
          <t xml:space="preserve"> 7%
</t>
        </r>
        <r>
          <rPr>
            <b/>
            <sz val="10"/>
            <color rgb="FF000000"/>
            <rFont val="Tahoma"/>
            <family val="2"/>
          </rPr>
          <t>PIS e COFINS</t>
        </r>
        <r>
          <rPr>
            <sz val="10"/>
            <color rgb="FF000000"/>
            <rFont val="Tahoma"/>
            <family val="2"/>
          </rPr>
          <t xml:space="preserve"> 3,65%
</t>
        </r>
        <r>
          <rPr>
            <b/>
            <sz val="10"/>
            <color rgb="FF000000"/>
            <rFont val="Tahoma"/>
            <family val="2"/>
          </rPr>
          <t>IPI</t>
        </r>
        <r>
          <rPr>
            <sz val="10"/>
            <color rgb="FF000000"/>
            <rFont val="Tahoma"/>
            <family val="2"/>
          </rPr>
          <t xml:space="preserve"> 10%
</t>
        </r>
        <r>
          <rPr>
            <b/>
            <sz val="10"/>
            <color rgb="FF000000"/>
            <rFont val="Tahoma"/>
            <family val="2"/>
          </rPr>
          <t>ISS</t>
        </r>
        <r>
          <rPr>
            <sz val="10"/>
            <color rgb="FF000000"/>
            <rFont val="Tahoma"/>
            <family val="2"/>
          </rPr>
          <t xml:space="preserve"> 3,5%
</t>
        </r>
        <r>
          <rPr>
            <b/>
            <sz val="10"/>
            <color rgb="FF000000"/>
            <rFont val="Tahoma"/>
            <family val="2"/>
          </rPr>
          <t>Total Sugerido: 27,15%. (Fique a vontade para mudar e adaptar.</t>
        </r>
        <r>
          <rPr>
            <b/>
            <sz val="10"/>
            <color rgb="FFFF0000"/>
            <rFont val="Tahoma"/>
            <family val="2"/>
          </rPr>
          <t xml:space="preserve"> ATENÇÃO: </t>
        </r>
        <r>
          <rPr>
            <sz val="10"/>
            <color rgb="FF000000"/>
            <rFont val="Tahoma"/>
            <family val="2"/>
          </rPr>
          <t xml:space="preserve">Não coloquei alíquotas, mas sim carga, pois o que se colocava no preço até então eram os impostos efetivos. </t>
        </r>
        <r>
          <rPr>
            <b/>
            <sz val="10"/>
            <color rgb="FF000000"/>
            <rFont val="Tahoma"/>
            <family val="2"/>
          </rPr>
          <t>Vc pode arredondar para 27%.</t>
        </r>
      </text>
    </comment>
    <comment ref="C11" authorId="0" shapeId="0" xr:uid="{136C55CD-EE8E-344B-BC44-E85D6433EF1E}">
      <text>
        <r>
          <rPr>
            <sz val="10"/>
            <color rgb="FF000000"/>
            <rFont val="Tahoma"/>
            <family val="2"/>
          </rPr>
          <t>Verifique se o seu setor tem Redução de B.C. E multiplique a base pela alíquota do CBS/IBS. Ex: Serviços Profisisonais B.C. 70% x 27% = Alíquota CBS/IBS: 18,90%</t>
        </r>
      </text>
    </comment>
    <comment ref="E11" authorId="0" shapeId="0" xr:uid="{895EF964-4CCA-204B-BB63-AEE8CEA36579}">
      <text>
        <r>
          <rPr>
            <sz val="10"/>
            <color rgb="FF000000"/>
            <rFont val="Tahoma"/>
            <family val="2"/>
          </rPr>
          <t xml:space="preserve">Verifique na tabela da regulamentação da reforma na faixa adequada para. IBS e CBS dentro do Simples
</t>
        </r>
        <r>
          <rPr>
            <sz val="10"/>
            <color rgb="FF000000"/>
            <rFont val="Tahoma"/>
            <family val="2"/>
          </rPr>
          <t>Para obter o percentual correto voce deve multiplicar o IBS+CBS x o Percentual de participação deles no computo total de todos os impostos do Das. ELe é constante da tabela. NO exemplo aqui 14,30%</t>
        </r>
      </text>
    </comment>
  </commentList>
</comments>
</file>

<file path=xl/sharedStrings.xml><?xml version="1.0" encoding="utf-8"?>
<sst xmlns="http://schemas.openxmlformats.org/spreadsheetml/2006/main" count="275" uniqueCount="138">
  <si>
    <t>Descrição</t>
  </si>
  <si>
    <t>Faturamento Pós-Reforma</t>
  </si>
  <si>
    <t>CMV Percentual</t>
  </si>
  <si>
    <t>Despesas Percentual</t>
  </si>
  <si>
    <t>IRPJ e CSLL Percentual</t>
  </si>
  <si>
    <t>Alíquota IBS/CBS</t>
  </si>
  <si>
    <t>Receita Líquida</t>
  </si>
  <si>
    <t>Margem de Contribuição</t>
  </si>
  <si>
    <t>(-) Despesas</t>
  </si>
  <si>
    <t>Lucro Antes do IRPJ e CSLL</t>
  </si>
  <si>
    <t>(-) IRPJ e CSLL</t>
  </si>
  <si>
    <t>Lucro Líquido</t>
  </si>
  <si>
    <t>%</t>
  </si>
  <si>
    <t>Antes</t>
  </si>
  <si>
    <t>Depois</t>
  </si>
  <si>
    <t>Receita Bruta</t>
  </si>
  <si>
    <t>www.reformatributaria.inf.br</t>
  </si>
  <si>
    <t>Impostos Extintos (PIS, COFINS, ICMS, IPI,ISSQN)*</t>
  </si>
  <si>
    <r>
      <t xml:space="preserve">Demonstração do Resultado do Exercício Comparativa - </t>
    </r>
    <r>
      <rPr>
        <b/>
        <u/>
        <sz val="14"/>
        <color rgb="FFFF0000"/>
        <rFont val="Calibri (Corpo)"/>
      </rPr>
      <t>Lucro REAL</t>
    </r>
  </si>
  <si>
    <r>
      <t xml:space="preserve">Demonstração do Resultado do Exercício Comparativa Reforma - </t>
    </r>
    <r>
      <rPr>
        <b/>
        <sz val="14"/>
        <color rgb="FFFF0000"/>
        <rFont val="Calibri (Corpo)"/>
      </rPr>
      <t>Lucro Real</t>
    </r>
  </si>
  <si>
    <t>**</t>
  </si>
  <si>
    <r>
      <t xml:space="preserve">Demonstração do Resultado do Exercício Comparativa Reforma - </t>
    </r>
    <r>
      <rPr>
        <b/>
        <sz val="14"/>
        <color theme="4"/>
        <rFont val="Calibri (Corpo)"/>
      </rPr>
      <t>LUCRO PRESUMIDO</t>
    </r>
  </si>
  <si>
    <t>Faturamento antes Reforma (total)</t>
  </si>
  <si>
    <t>Faturamento Produto</t>
  </si>
  <si>
    <t>Faturamento Serviços</t>
  </si>
  <si>
    <t>Percentual Desp. c/ Dir. a Crédito de IBS/CBS</t>
  </si>
  <si>
    <t>IRPJ Percentual</t>
  </si>
  <si>
    <t>CSLL Percentual</t>
  </si>
  <si>
    <t>b.c p / adicional</t>
  </si>
  <si>
    <t>Demonstração do Resultado do Exercício Comparativa - LUCRO PRESUMIDO</t>
  </si>
  <si>
    <t>(-) Deduções (ICMS, PIS, COFINS, IPI , ISS)</t>
  </si>
  <si>
    <t>(-) Deduções (ICMS, PIS, COFINS, ISS, IPI)</t>
  </si>
  <si>
    <t>IRPJ (Extrato do Simples)</t>
  </si>
  <si>
    <t>CSLL (Extrato do Simples)</t>
  </si>
  <si>
    <t>CPP-INSS (Extrato do Simples)</t>
  </si>
  <si>
    <r>
      <t xml:space="preserve">(-) Despesas </t>
    </r>
    <r>
      <rPr>
        <i/>
        <sz val="12"/>
        <color theme="4"/>
        <rFont val="Calibri (Corpo)"/>
      </rPr>
      <t>(Já Incluída CPP-Inss)</t>
    </r>
  </si>
  <si>
    <r>
      <t xml:space="preserve">Demonstração do Resultado do Exercício Comparativa - </t>
    </r>
    <r>
      <rPr>
        <b/>
        <u/>
        <sz val="14"/>
        <color rgb="FF00B050"/>
        <rFont val="Calibri (Corpo)"/>
      </rPr>
      <t>SIMPLES NACIONAL</t>
    </r>
  </si>
  <si>
    <r>
      <t xml:space="preserve">Demonstração do Resultado do Exercício Comparativa Reforma - </t>
    </r>
    <r>
      <rPr>
        <b/>
        <sz val="14"/>
        <color rgb="FF00B050"/>
        <rFont val="Calibri (Corpo)"/>
      </rPr>
      <t>SIMPLES NACIONAL</t>
    </r>
  </si>
  <si>
    <t>Simule as alíquotas aqui:</t>
  </si>
  <si>
    <t>https://canaltributario.com.br/simulador/</t>
  </si>
  <si>
    <t>Redução ICMS/ISS/Pis/Cof Desp.</t>
  </si>
  <si>
    <t>Total Despesas Antes</t>
  </si>
  <si>
    <t>Redução de Impostos Extintos</t>
  </si>
  <si>
    <t>Desp. (-) Impostos</t>
  </si>
  <si>
    <t>Tot. Desp.Depois</t>
  </si>
  <si>
    <t>Desp.</t>
  </si>
  <si>
    <t>CMV</t>
  </si>
  <si>
    <t>Premissas da Planilha e pressupostos para a planilha:</t>
  </si>
  <si>
    <t>1) Não há como saber qual o percentual de impostos serão deduzidos das despesas para ter o preço sem impostos. Se tiverem ICMS a carga tributária média pode estar entre 7 a 12% (carga tributária não alíquota), eu fiz médias que estão no comentário da célula)</t>
  </si>
  <si>
    <t>2) Parti do pressuposto de que os produtos e despesas receberão após a reforma, o percentual de IBS/CBS, por que os totais na DRE irão receber aumetnos nos preços (mas, ao mesmo tempo, redução dos créditos desse IBS/CBS, pois as empresas terão créditos financeiros sobre essas despesas e custos, com excessão de folha de pagamento). Por isso coloquei um percentual máximo de despesas com direito a crédito, pra excluir folha.</t>
  </si>
  <si>
    <t>3) Parti do pré-suposto que se voce tem uma empresa de serviços, o seu custo do serviço prestado, terá uma redução de imposto igual a que voce incluiu na sua própria redução de impostos (ISS, PIS, COFINS). E caso, voce seja revendedor ou indústria, a redução do CMV será a mesma da sua própria empresa, pois voce compra com ICMS, PIS, COFINS IPI e ISS (de serviços tomados), também irá ter reduzidos esses mesmos impostos dos seus fornecedores de matéria prima ou produto para revenda.</t>
  </si>
  <si>
    <t>IBS/CBS pago</t>
  </si>
  <si>
    <t>4) Inicialmente a empresa terá um reflexo direto no seu caixa em dois aspectos:</t>
  </si>
  <si>
    <t>1º) Ela irá ter uma redução imediata de PIS, COFINS, ISS, ICMS e IPI sobre tudo que ela adquirir ou serviços;</t>
  </si>
  <si>
    <t>2º) Ela irá pagar 27% sobre tudo que ela adquirir produtos ou tomar de serviços;</t>
  </si>
  <si>
    <r>
      <t xml:space="preserve">3º) Ela irá se creditar, em nuvem, tendo em conta de </t>
    </r>
    <r>
      <rPr>
        <b/>
        <i/>
        <sz val="11"/>
        <color theme="1"/>
        <rFont val="Calibri"/>
        <family val="2"/>
        <scheme val="minor"/>
      </rPr>
      <t>IBS/CBS a recuperar</t>
    </r>
    <r>
      <rPr>
        <i/>
        <sz val="11"/>
        <color theme="1"/>
        <rFont val="Calibri"/>
        <family val="2"/>
        <scheme val="minor"/>
      </rPr>
      <t xml:space="preserve"> no ativo da empresa, todo o imposto pago sobre esses produtos/serviços, e estes impostos </t>
    </r>
    <r>
      <rPr>
        <b/>
        <i/>
        <sz val="11"/>
        <color theme="1"/>
        <rFont val="Calibri"/>
        <family val="2"/>
        <scheme val="minor"/>
      </rPr>
      <t>NÃO coporão a DRE</t>
    </r>
    <r>
      <rPr>
        <i/>
        <sz val="11"/>
        <color theme="1"/>
        <rFont val="Calibri"/>
        <family val="2"/>
        <scheme val="minor"/>
      </rPr>
      <t xml:space="preserve"> (demonstração de resultados) da empresa, porque não são despesas, mas sim valores que a empresa vai receber de volta na sua c/c.</t>
    </r>
  </si>
  <si>
    <t>Teste de Redução dos Valores após reforma</t>
  </si>
  <si>
    <t>Custo Serviço</t>
  </si>
  <si>
    <t>Custo Serviços</t>
  </si>
  <si>
    <t>Faturamento antes Reforma PROD</t>
  </si>
  <si>
    <t>Faturamento antes Reforma Serviço</t>
  </si>
  <si>
    <t>CSV</t>
  </si>
  <si>
    <t>(Estou considerando bases diferentes para dedução dos impostos sobre CMV e CSV, poisno caso do CMV reduz os mesmos impostos que a empresa informou para seus produtos/serviços , e no caso dos serviços, reduzindo os impostos sobre tudo que não e mão de obra (a diferença entre 100% e o percentual informado com direito a crédito</t>
  </si>
  <si>
    <t>(=) CMV  + CSV</t>
  </si>
  <si>
    <t>(=) CMV + (CSV)</t>
  </si>
  <si>
    <t xml:space="preserve">  </t>
  </si>
  <si>
    <t>Custo Serviço Percentual</t>
  </si>
  <si>
    <t>ipi</t>
  </si>
  <si>
    <t>icms</t>
  </si>
  <si>
    <t>pis/cofins</t>
  </si>
  <si>
    <t>Sem créditos algum de IBS/CBS</t>
  </si>
  <si>
    <r>
      <t xml:space="preserve">(-) Ded. (ICMS, PIS, COF, IPI , ISS) </t>
    </r>
    <r>
      <rPr>
        <i/>
        <sz val="12"/>
        <color rgb="FFFF0000"/>
        <rFont val="Calibri (Corpo)"/>
      </rPr>
      <t>CBS/IBS</t>
    </r>
  </si>
  <si>
    <t>Imp. Extintos (PIS, COFINS, ICMS, IPI,ISS)  DAS</t>
  </si>
  <si>
    <t>Imp. Extintos (PIS, COFINS, ICMS, IPI,ISS) DAS</t>
  </si>
  <si>
    <r>
      <t xml:space="preserve">Demonstração do Resultado do Exercício Comparativa - </t>
    </r>
    <r>
      <rPr>
        <b/>
        <u/>
        <sz val="14"/>
        <color theme="3"/>
        <rFont val="Calibri (Corpo)"/>
      </rPr>
      <t>SIMPLES NACIONAL</t>
    </r>
    <r>
      <rPr>
        <b/>
        <u/>
        <sz val="14"/>
        <color theme="3"/>
        <rFont val="Calibri"/>
        <family val="2"/>
        <scheme val="minor"/>
      </rPr>
      <t xml:space="preserve"> </t>
    </r>
  </si>
  <si>
    <r>
      <t xml:space="preserve">Demonstração do Resultado Exerc. Comparativa Reforma - </t>
    </r>
    <r>
      <rPr>
        <b/>
        <sz val="14"/>
        <color rgb="FF00B050"/>
        <rFont val="Calibri (Corpo)"/>
      </rPr>
      <t>SIMPLES NACIONAL S/cred</t>
    </r>
    <r>
      <rPr>
        <b/>
        <sz val="14"/>
        <color theme="1"/>
        <rFont val="Calibri"/>
        <family val="2"/>
        <scheme val="minor"/>
      </rPr>
      <t>.</t>
    </r>
  </si>
  <si>
    <t>2) Parti do pressuposto de que os produtos e despesas receberão após a reforma, o percentual de IBS/CBS, por que os totais na DRE irão receber aumentos nos preços (mas, ao mesmo tempo, redução dos créditos desse IBS/CBS, pois as empresas terão créditos financeiros sobre essas despesas e custos, com excessão de folha de pagamento). Por isso coloquei um percentual máximo de despesas com direito a crédito, pra excluir folha.</t>
  </si>
  <si>
    <t>Imp. Extintos (PIS, COFINS, ICMS, IPI,ISS)  CMV</t>
  </si>
  <si>
    <t>(=) CMV + CSV</t>
  </si>
  <si>
    <t>IBS/CBS no DAS</t>
  </si>
  <si>
    <t>&lt;-Tabela IBS/CBS Faixa 6</t>
  </si>
  <si>
    <t>Artigo 160, § 2º:</t>
  </si>
  <si>
    <t>“Os créditos presumidos de IBS e de CBS que trata o caput serão calculados mediante aplicação dos seguintes percentuais sobre o valor da aquisição registrado em documento admitido pela administração tributária na forma do regulamento:</t>
  </si>
  <si>
    <t>I - para o crédito presumido de IBS, 13% (treze por cento);</t>
  </si>
  <si>
    <t>II - para o crédito presumido de CBS, 7% (sete por cento).”</t>
  </si>
  <si>
    <t>Sim, você está correto. A utilização dos créditos presumidos pode ser entendida como uma forma de ajustar a alíquota efetiva de IBS e CBS dentro do Simples Nacional, resultando em uma alíquota reduzida. Isso é feito para que a carga tributária final para as empresas optantes pelo Simples Nacional seja proporcional e justa, considerando a simplificação do regime.</t>
  </si>
  <si>
    <t>### Cálculo da Alíquota Efetiva</t>
  </si>
  <si>
    <t>Vamos detalhar como a alíquota efetiva pode ser determinada utilizando os créditos presumidos.</t>
  </si>
  <si>
    <t>1. **Alíquota Base de IBS e CBS**:</t>
  </si>
  <si>
    <t xml:space="preserve">   - Alíquota combinada: 26,5%</t>
  </si>
  <si>
    <t>2. **Créditos Presumidos**:</t>
  </si>
  <si>
    <t xml:space="preserve">   - Crédito presumido de IBS: 13%</t>
  </si>
  <si>
    <t xml:space="preserve">   - Crédito presumido de CBS: 7%</t>
  </si>
  <si>
    <t xml:space="preserve">   - Crédito presumido total: 20%</t>
  </si>
  <si>
    <t>3. **Alíquota Efetiva**:</t>
  </si>
  <si>
    <t xml:space="preserve">   - A alíquota efetiva é determinada pela diferença entre a alíquota base e a alíquota de crédito presumido.</t>
  </si>
  <si>
    <t>\[</t>
  </si>
  <si>
    <t>\text{Alíquota Efetiva} = \text{Alíquota Base} - \text{Crédito Presumido Total}</t>
  </si>
  <si>
    <t>\]</t>
  </si>
  <si>
    <t>\text{Alíquota Efetiva} = 26,5\% - 20\%</t>
  </si>
  <si>
    <t>\text{Alíquota Efetiva} = 6,5\%</t>
  </si>
  <si>
    <t>Portanto, a alíquota efetiva que as empresas do Simples Nacional pagariam sobre suas vendas, considerando os créditos presumidos, seria de 6,5%.</t>
  </si>
  <si>
    <t>### Aplicação no Cálculo do DAS</t>
  </si>
  <si>
    <t>Para ilustrar, vamos considerar uma empresa do Simples Nacional com receita bruta mensal de R$ 200.000,00:</t>
  </si>
  <si>
    <t>1. **Receita Bruta Mensal**: R$ 200.000,00</t>
  </si>
  <si>
    <t>2. **Alíquota Efetiva de IBS e CBS**: 6,5%</t>
  </si>
  <si>
    <t>\text{Imposto Mensal} = \text{Receita Bruta Mensal} \times \text{Alíquota Efetiva}</t>
  </si>
  <si>
    <t>\text{Imposto Mensal} = 200.000 \times 6,5\%</t>
  </si>
  <si>
    <t>\text{Imposto Mensal} = 13.000</t>
  </si>
  <si>
    <t>### Conclusão</t>
  </si>
  <si>
    <t>Utilizando os créditos presumidos para ajustar a alíquota base de 26,5%, a alíquota efetiva que as empresas do Simples Nacional pagariam de IBS e CBS seria 6,5%. Este ajuste garante que a carga tributária final seja mais equilibrada e proporcional para as pequenas e médias empresas que operam sob o regime simplificado do Simples Nacional.</t>
  </si>
  <si>
    <t>2º) Ela irá pagar 26,5% sobre tudo que ela adquirir produtos ou tomar de serviços;</t>
  </si>
  <si>
    <t>5) Cálculo de IBS e CBS quando a empresa paga dentro do DAS</t>
  </si>
  <si>
    <t>O Simples Nacional para calcular a alíquota final de IBS/CBS sobre o faturamento, parte da presunção de 13% de CBS e 7% de Ibs. Assim Por exemplo num volume de 2,4 milhões de faturaento chega-se a uma alíquota efetiva dentro do DAS de 6,5% aproximadamente de CBS e IBS a pagar s/ o faturamento.</t>
  </si>
  <si>
    <t xml:space="preserve">Valor de um produto ou serviço atual </t>
  </si>
  <si>
    <t>PREÇO DE VENDA (PÓS REFORMA)</t>
  </si>
  <si>
    <t xml:space="preserve">ALÍQUOTA IBS </t>
  </si>
  <si>
    <t>VALOR PAGO PELO CLIENTE</t>
  </si>
  <si>
    <t>VALOR NO CAIXA DA EMPRESA</t>
  </si>
  <si>
    <t>VALOR DIRETO PRO GOVERNO</t>
  </si>
  <si>
    <t>( - ) Carga tributária PIS/COF/ICMS/IPI/ISS no SIMPLES</t>
  </si>
  <si>
    <t>PRÓS de ter o IBS e CBS  dentro do DAS</t>
  </si>
  <si>
    <t>Não aproveita crédito de IBS/CBS Merc. E Desp</t>
  </si>
  <si>
    <t>Transmite apenas 6% crédito IBS/CBS p/ PJ</t>
  </si>
  <si>
    <t>CASE EMPRESA DE SERVIÇOS SIMPLES - FATURANDO 1,8 MILHÕES POR ANO</t>
  </si>
  <si>
    <t>IBS/CBS</t>
  </si>
  <si>
    <t>DENTRO DO DAS</t>
  </si>
  <si>
    <t>CONTRAS de ter o IBS e CBS  dentro do DAS</t>
  </si>
  <si>
    <t>*</t>
  </si>
  <si>
    <r>
      <rPr>
        <b/>
        <sz val="11"/>
        <color rgb="FFFF0000"/>
        <rFont val="Calibri (Corpo)"/>
      </rPr>
      <t xml:space="preserve">* ATENÇÃO: </t>
    </r>
    <r>
      <rPr>
        <i/>
        <sz val="11"/>
        <color theme="1"/>
        <rFont val="Calibri"/>
        <family val="2"/>
        <scheme val="minor"/>
      </rPr>
      <t>Para a empresa não ter prejuízo, no caso de vender fora do regime regular, ela terá que avaliar que o custo de mercadorias aumentará 26,5% e não terá crédito sobre despesas e custos de serviços, o que tornará sua precificação mais cara e não poderá vender pelo mesmo preço.</t>
    </r>
    <r>
      <rPr>
        <sz val="11"/>
        <color theme="1"/>
        <rFont val="Calibri"/>
        <family val="2"/>
        <scheme val="minor"/>
      </rPr>
      <t xml:space="preserve"> WWW.REFORMATRIBUTARIA.INF.BR</t>
    </r>
  </si>
  <si>
    <t>FORA DO DAS</t>
  </si>
  <si>
    <t xml:space="preserve">BASE DE CÁLCULO PARA IBS/CBS </t>
  </si>
  <si>
    <t>Aumento do CMV/ REDUÇÃO DO LUCRO</t>
  </si>
  <si>
    <t xml:space="preserve"> </t>
  </si>
  <si>
    <t>Despesas R$</t>
  </si>
  <si>
    <t>Custo Serviços Prest.R$</t>
  </si>
  <si>
    <t>CMV R$</t>
  </si>
  <si>
    <t>Valor menor de IBS/CBS pro cliente (PREÇO MENOR)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</si>
</sst>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0070C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color rgb="FFFF0000"/>
      <name val="Calibri (Corpo)"/>
    </font>
    <font>
      <b/>
      <sz val="14"/>
      <color rgb="FFFF0000"/>
      <name val="Calibri (Corpo)"/>
    </font>
    <font>
      <b/>
      <sz val="14"/>
      <color theme="4"/>
      <name val="Calibri (Corpo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b/>
      <sz val="10"/>
      <color rgb="FFFF0000"/>
      <name val="Tahoma"/>
      <family val="2"/>
    </font>
    <font>
      <i/>
      <sz val="12"/>
      <color theme="4"/>
      <name val="Calibri (Corpo)"/>
    </font>
    <font>
      <b/>
      <u/>
      <sz val="14"/>
      <color rgb="FF00B050"/>
      <name val="Calibri (Corpo)"/>
    </font>
    <font>
      <b/>
      <sz val="14"/>
      <color rgb="FF00B050"/>
      <name val="Calibri (Corpo)"/>
    </font>
    <font>
      <i/>
      <sz val="11"/>
      <color rgb="FFFF0000"/>
      <name val="Calibri"/>
      <family val="2"/>
      <scheme val="minor"/>
    </font>
    <font>
      <i/>
      <sz val="10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FF0000"/>
      <name val="Calibri (Corpo)"/>
    </font>
    <font>
      <b/>
      <u/>
      <sz val="14"/>
      <color theme="3"/>
      <name val="Calibri"/>
      <family val="2"/>
      <scheme val="minor"/>
    </font>
    <font>
      <b/>
      <u/>
      <sz val="14"/>
      <color theme="3"/>
      <name val="Calibri (Corpo)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 (Corpo)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24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10" fillId="0" borderId="0" xfId="0" applyFont="1"/>
    <xf numFmtId="43" fontId="5" fillId="0" borderId="0" xfId="0" applyNumberFormat="1" applyFont="1" applyAlignment="1">
      <alignment horizontal="right"/>
    </xf>
    <xf numFmtId="43" fontId="5" fillId="2" borderId="0" xfId="1" applyFont="1" applyFill="1" applyAlignment="1" applyProtection="1">
      <alignment horizontal="right"/>
      <protection locked="0"/>
    </xf>
    <xf numFmtId="0" fontId="0" fillId="0" borderId="0" xfId="0" applyProtection="1">
      <protection locked="0"/>
    </xf>
    <xf numFmtId="9" fontId="5" fillId="2" borderId="0" xfId="0" applyNumberFormat="1" applyFont="1" applyFill="1" applyAlignment="1" applyProtection="1">
      <alignment horizontal="right"/>
      <protection locked="0"/>
    </xf>
    <xf numFmtId="10" fontId="5" fillId="2" borderId="0" xfId="0" applyNumberFormat="1" applyFont="1" applyFill="1" applyAlignment="1" applyProtection="1">
      <alignment horizontal="right"/>
      <protection locked="0"/>
    </xf>
    <xf numFmtId="43" fontId="0" fillId="0" borderId="0" xfId="0" applyNumberFormat="1" applyProtection="1">
      <protection locked="0"/>
    </xf>
    <xf numFmtId="43" fontId="0" fillId="0" borderId="0" xfId="0" applyNumberFormat="1"/>
    <xf numFmtId="0" fontId="0" fillId="0" borderId="0" xfId="0" applyAlignment="1">
      <alignment horizontal="right"/>
    </xf>
    <xf numFmtId="43" fontId="7" fillId="0" borderId="0" xfId="1" applyFont="1" applyFill="1" applyAlignment="1" applyProtection="1">
      <alignment horizontal="right"/>
    </xf>
    <xf numFmtId="0" fontId="4" fillId="0" borderId="0" xfId="0" applyFont="1" applyAlignment="1">
      <alignment horizontal="right"/>
    </xf>
    <xf numFmtId="0" fontId="11" fillId="0" borderId="0" xfId="3"/>
    <xf numFmtId="0" fontId="2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43" fontId="7" fillId="0" borderId="0" xfId="1" applyFont="1"/>
    <xf numFmtId="10" fontId="7" fillId="0" borderId="0" xfId="2" applyNumberFormat="1" applyFont="1" applyAlignment="1">
      <alignment horizontal="center"/>
    </xf>
    <xf numFmtId="43" fontId="4" fillId="0" borderId="0" xfId="1" applyFont="1"/>
    <xf numFmtId="10" fontId="4" fillId="0" borderId="0" xfId="2" applyNumberFormat="1" applyFont="1" applyAlignment="1">
      <alignment horizontal="center"/>
    </xf>
    <xf numFmtId="0" fontId="27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27" fillId="0" borderId="0" xfId="0" applyFont="1" applyAlignment="1" applyProtection="1">
      <alignment horizontal="right"/>
      <protection locked="0"/>
    </xf>
    <xf numFmtId="43" fontId="29" fillId="0" borderId="0" xfId="0" applyNumberFormat="1" applyFont="1" applyProtection="1">
      <protection locked="0"/>
    </xf>
    <xf numFmtId="43" fontId="0" fillId="0" borderId="0" xfId="1" applyFont="1" applyProtection="1">
      <protection locked="0"/>
    </xf>
    <xf numFmtId="43" fontId="27" fillId="0" borderId="0" xfId="0" applyNumberFormat="1" applyFont="1" applyProtection="1">
      <protection locked="0"/>
    </xf>
    <xf numFmtId="0" fontId="27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3" fontId="5" fillId="0" borderId="0" xfId="1" applyFont="1" applyFill="1" applyAlignment="1" applyProtection="1">
      <alignment horizontal="right"/>
    </xf>
    <xf numFmtId="0" fontId="27" fillId="0" borderId="0" xfId="0" applyFont="1"/>
    <xf numFmtId="43" fontId="0" fillId="0" borderId="0" xfId="1" applyFont="1"/>
    <xf numFmtId="10" fontId="2" fillId="2" borderId="0" xfId="0" applyNumberFormat="1" applyFont="1" applyFill="1" applyAlignment="1" applyProtection="1">
      <alignment horizontal="right"/>
      <protection locked="0"/>
    </xf>
    <xf numFmtId="10" fontId="5" fillId="2" borderId="0" xfId="0" applyNumberFormat="1" applyFont="1" applyFill="1" applyAlignment="1">
      <alignment horizontal="right"/>
    </xf>
    <xf numFmtId="0" fontId="28" fillId="0" borderId="0" xfId="0" applyFont="1"/>
    <xf numFmtId="0" fontId="34" fillId="3" borderId="0" xfId="0" applyFont="1" applyFill="1"/>
    <xf numFmtId="43" fontId="34" fillId="3" borderId="0" xfId="0" applyNumberFormat="1" applyFont="1" applyFill="1"/>
    <xf numFmtId="0" fontId="34" fillId="3" borderId="0" xfId="0" applyFont="1" applyFill="1" applyProtection="1">
      <protection locked="0"/>
    </xf>
    <xf numFmtId="10" fontId="0" fillId="0" borderId="0" xfId="0" applyNumberFormat="1"/>
    <xf numFmtId="9" fontId="5" fillId="4" borderId="0" xfId="0" applyNumberFormat="1" applyFont="1" applyFill="1" applyAlignment="1" applyProtection="1">
      <alignment horizontal="right"/>
      <protection locked="0"/>
    </xf>
    <xf numFmtId="10" fontId="5" fillId="4" borderId="0" xfId="0" applyNumberFormat="1" applyFont="1" applyFill="1" applyAlignment="1" applyProtection="1">
      <alignment horizontal="right"/>
      <protection locked="0"/>
    </xf>
    <xf numFmtId="43" fontId="5" fillId="4" borderId="0" xfId="1" applyFont="1" applyFill="1" applyAlignment="1" applyProtection="1">
      <alignment horizontal="right"/>
    </xf>
    <xf numFmtId="9" fontId="5" fillId="4" borderId="0" xfId="0" applyNumberFormat="1" applyFont="1" applyFill="1" applyAlignment="1">
      <alignment horizontal="right"/>
    </xf>
    <xf numFmtId="10" fontId="5" fillId="4" borderId="0" xfId="0" applyNumberFormat="1" applyFont="1" applyFill="1" applyAlignment="1">
      <alignment horizontal="right"/>
    </xf>
    <xf numFmtId="0" fontId="36" fillId="0" borderId="0" xfId="0" applyFont="1"/>
    <xf numFmtId="0" fontId="27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39" fillId="5" borderId="0" xfId="0" applyFont="1" applyFill="1" applyAlignment="1">
      <alignment horizontal="right"/>
    </xf>
    <xf numFmtId="0" fontId="39" fillId="0" borderId="0" xfId="0" applyFont="1"/>
    <xf numFmtId="43" fontId="41" fillId="5" borderId="1" xfId="1" applyFont="1" applyFill="1" applyBorder="1"/>
    <xf numFmtId="10" fontId="36" fillId="0" borderId="1" xfId="2" applyNumberFormat="1" applyFont="1" applyBorder="1"/>
    <xf numFmtId="43" fontId="39" fillId="0" borderId="1" xfId="0" applyNumberFormat="1" applyFont="1" applyBorder="1"/>
    <xf numFmtId="43" fontId="6" fillId="0" borderId="1" xfId="0" applyNumberFormat="1" applyFont="1" applyBorder="1"/>
    <xf numFmtId="10" fontId="30" fillId="0" borderId="1" xfId="0" applyNumberFormat="1" applyFont="1" applyBorder="1"/>
    <xf numFmtId="43" fontId="39" fillId="5" borderId="1" xfId="1" applyFont="1" applyFill="1" applyBorder="1"/>
    <xf numFmtId="0" fontId="0" fillId="0" borderId="1" xfId="0" applyBorder="1"/>
    <xf numFmtId="0" fontId="38" fillId="8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35" fillId="9" borderId="0" xfId="0" applyFont="1" applyFill="1" applyAlignment="1">
      <alignment horizontal="right"/>
    </xf>
    <xf numFmtId="0" fontId="35" fillId="8" borderId="0" xfId="0" applyFont="1" applyFill="1" applyAlignment="1">
      <alignment horizontal="left"/>
    </xf>
    <xf numFmtId="0" fontId="11" fillId="0" borderId="0" xfId="3" applyAlignment="1">
      <alignment horizontal="center"/>
    </xf>
    <xf numFmtId="0" fontId="47" fillId="0" borderId="0" xfId="0" applyFont="1"/>
    <xf numFmtId="43" fontId="45" fillId="6" borderId="1" xfId="0" applyNumberFormat="1" applyFont="1" applyFill="1" applyBorder="1"/>
    <xf numFmtId="0" fontId="42" fillId="5" borderId="1" xfId="0" applyFont="1" applyFill="1" applyBorder="1" applyAlignment="1">
      <alignment horizontal="center"/>
    </xf>
    <xf numFmtId="0" fontId="45" fillId="5" borderId="0" xfId="0" applyFont="1" applyFill="1"/>
    <xf numFmtId="0" fontId="45" fillId="5" borderId="0" xfId="0" applyFont="1" applyFill="1" applyAlignment="1">
      <alignment horizontal="right"/>
    </xf>
    <xf numFmtId="0" fontId="36" fillId="0" borderId="0" xfId="0" applyFont="1" applyAlignment="1">
      <alignment horizontal="right"/>
    </xf>
    <xf numFmtId="0" fontId="37" fillId="7" borderId="0" xfId="0" applyFont="1" applyFill="1" applyAlignment="1">
      <alignment horizontal="right"/>
    </xf>
    <xf numFmtId="43" fontId="37" fillId="7" borderId="1" xfId="0" applyNumberFormat="1" applyFont="1" applyFill="1" applyBorder="1"/>
    <xf numFmtId="0" fontId="37" fillId="8" borderId="0" xfId="0" applyFont="1" applyFill="1" applyAlignment="1">
      <alignment horizontal="right"/>
    </xf>
    <xf numFmtId="43" fontId="37" fillId="8" borderId="2" xfId="0" applyNumberFormat="1" applyFont="1" applyFill="1" applyBorder="1"/>
    <xf numFmtId="43" fontId="0" fillId="2" borderId="0" xfId="1" applyFont="1" applyFill="1" applyProtection="1">
      <protection locked="0"/>
    </xf>
    <xf numFmtId="9" fontId="5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8" fillId="0" borderId="0" xfId="0" applyFont="1" applyAlignment="1" applyProtection="1">
      <alignment horizontal="left" vertical="center" wrapText="1"/>
      <protection locked="0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 applyProtection="1">
      <alignment horizontal="left" vertical="center" wrapText="1"/>
      <protection locked="0"/>
    </xf>
    <xf numFmtId="0" fontId="29" fillId="0" borderId="0" xfId="0" applyFont="1" applyAlignment="1">
      <alignment horizontal="left" vertical="center" wrapText="1"/>
    </xf>
    <xf numFmtId="0" fontId="27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12" fillId="0" borderId="0" xfId="3" applyFont="1" applyAlignment="1">
      <alignment horizontal="center"/>
    </xf>
    <xf numFmtId="0" fontId="13" fillId="0" borderId="0" xfId="0" applyFont="1" applyAlignment="1">
      <alignment horizontal="center"/>
    </xf>
    <xf numFmtId="0" fontId="3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0" fillId="0" borderId="0" xfId="0" applyAlignment="1" applyProtection="1">
      <alignment horizontal="left" wrapText="1" indent="2"/>
      <protection locked="0"/>
    </xf>
    <xf numFmtId="0" fontId="0" fillId="0" borderId="0" xfId="0" applyAlignment="1">
      <alignment horizontal="left" wrapText="1" indent="2"/>
    </xf>
    <xf numFmtId="43" fontId="39" fillId="0" borderId="3" xfId="0" applyNumberFormat="1" applyFont="1" applyBorder="1" applyAlignment="1">
      <alignment horizontal="center"/>
    </xf>
    <xf numFmtId="43" fontId="39" fillId="0" borderId="4" xfId="0" applyNumberFormat="1" applyFont="1" applyBorder="1" applyAlignment="1">
      <alignment horizontal="center"/>
    </xf>
    <xf numFmtId="43" fontId="6" fillId="0" borderId="3" xfId="0" applyNumberFormat="1" applyFont="1" applyBorder="1" applyAlignment="1">
      <alignment horizontal="center"/>
    </xf>
    <xf numFmtId="43" fontId="6" fillId="0" borderId="4" xfId="0" applyNumberFormat="1" applyFont="1" applyBorder="1" applyAlignment="1">
      <alignment horizontal="center"/>
    </xf>
    <xf numFmtId="0" fontId="46" fillId="5" borderId="0" xfId="0" applyFont="1" applyFill="1" applyAlignment="1">
      <alignment horizontal="center"/>
    </xf>
    <xf numFmtId="0" fontId="11" fillId="0" borderId="0" xfId="3" applyAlignment="1">
      <alignment horizontal="center"/>
    </xf>
    <xf numFmtId="0" fontId="45" fillId="6" borderId="0" xfId="0" applyFont="1" applyFill="1" applyAlignment="1">
      <alignment horizontal="right"/>
    </xf>
    <xf numFmtId="0" fontId="45" fillId="6" borderId="4" xfId="0" applyFont="1" applyFill="1" applyBorder="1" applyAlignment="1">
      <alignment horizontal="right"/>
    </xf>
    <xf numFmtId="0" fontId="45" fillId="5" borderId="0" xfId="0" applyFont="1" applyFill="1" applyAlignment="1">
      <alignment horizontal="center"/>
    </xf>
    <xf numFmtId="0" fontId="42" fillId="5" borderId="3" xfId="0" applyFont="1" applyFill="1" applyBorder="1" applyAlignment="1">
      <alignment horizontal="center"/>
    </xf>
    <xf numFmtId="0" fontId="42" fillId="5" borderId="4" xfId="0" applyFont="1" applyFill="1" applyBorder="1" applyAlignment="1">
      <alignment horizontal="center"/>
    </xf>
    <xf numFmtId="43" fontId="41" fillId="5" borderId="3" xfId="1" applyFont="1" applyFill="1" applyBorder="1" applyAlignment="1">
      <alignment horizontal="center"/>
    </xf>
    <xf numFmtId="43" fontId="41" fillId="5" borderId="4" xfId="1" applyFont="1" applyFill="1" applyBorder="1" applyAlignment="1">
      <alignment horizontal="center"/>
    </xf>
    <xf numFmtId="10" fontId="36" fillId="0" borderId="3" xfId="2" applyNumberFormat="1" applyFont="1" applyBorder="1" applyAlignment="1">
      <alignment horizontal="right"/>
    </xf>
    <xf numFmtId="10" fontId="36" fillId="0" borderId="4" xfId="2" applyNumberFormat="1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43" fontId="45" fillId="6" borderId="3" xfId="0" applyNumberFormat="1" applyFont="1" applyFill="1" applyBorder="1" applyAlignment="1">
      <alignment horizontal="center"/>
    </xf>
    <xf numFmtId="43" fontId="45" fillId="6" borderId="4" xfId="0" applyNumberFormat="1" applyFont="1" applyFill="1" applyBorder="1" applyAlignment="1">
      <alignment horizontal="center"/>
    </xf>
    <xf numFmtId="10" fontId="30" fillId="0" borderId="3" xfId="0" applyNumberFormat="1" applyFont="1" applyBorder="1" applyAlignment="1">
      <alignment horizontal="center"/>
    </xf>
    <xf numFmtId="10" fontId="30" fillId="0" borderId="4" xfId="0" applyNumberFormat="1" applyFont="1" applyBorder="1" applyAlignment="1">
      <alignment horizontal="center"/>
    </xf>
    <xf numFmtId="43" fontId="39" fillId="5" borderId="3" xfId="1" applyFont="1" applyFill="1" applyBorder="1" applyAlignment="1">
      <alignment horizontal="center"/>
    </xf>
    <xf numFmtId="43" fontId="39" fillId="5" borderId="4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3" fontId="37" fillId="7" borderId="3" xfId="0" applyNumberFormat="1" applyFont="1" applyFill="1" applyBorder="1" applyAlignment="1">
      <alignment horizontal="center"/>
    </xf>
    <xf numFmtId="43" fontId="37" fillId="7" borderId="4" xfId="0" applyNumberFormat="1" applyFont="1" applyFill="1" applyBorder="1" applyAlignment="1">
      <alignment horizontal="center"/>
    </xf>
    <xf numFmtId="43" fontId="37" fillId="8" borderId="5" xfId="0" applyNumberFormat="1" applyFont="1" applyFill="1" applyBorder="1" applyAlignment="1">
      <alignment horizontal="center"/>
    </xf>
    <xf numFmtId="43" fontId="37" fillId="8" borderId="6" xfId="0" applyNumberFormat="1" applyFont="1" applyFill="1" applyBorder="1" applyAlignment="1">
      <alignment horizontal="center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reformatributaria.inf.b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reformatributaria.inf.br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canaltributario.com.br/simulador/" TargetMode="External"/><Relationship Id="rId1" Type="http://schemas.openxmlformats.org/officeDocument/2006/relationships/hyperlink" Target="http://www.reformatributaria.inf.br/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https://canaltributario.com.br/simulador/" TargetMode="External"/><Relationship Id="rId1" Type="http://schemas.openxmlformats.org/officeDocument/2006/relationships/hyperlink" Target="http://www.reformatributaria.inf.br/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eformatributaria.inf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tabSelected="1" zoomScale="154" zoomScaleNormal="154" workbookViewId="0">
      <selection activeCell="B4" sqref="B4"/>
    </sheetView>
  </sheetViews>
  <sheetFormatPr defaultColWidth="8.85546875" defaultRowHeight="15"/>
  <cols>
    <col min="1" max="1" width="37.28515625" customWidth="1"/>
    <col min="2" max="2" width="13.85546875" customWidth="1"/>
    <col min="3" max="3" width="9.140625" bestFit="1" customWidth="1"/>
    <col min="4" max="4" width="16" bestFit="1" customWidth="1"/>
    <col min="5" max="5" width="11.140625" bestFit="1" customWidth="1"/>
    <col min="6" max="6" width="6.28515625" customWidth="1"/>
    <col min="7" max="7" width="9.140625" bestFit="1" customWidth="1"/>
    <col min="9" max="9" width="14.28515625" customWidth="1"/>
    <col min="10" max="10" width="11.85546875" bestFit="1" customWidth="1"/>
    <col min="11" max="11" width="11.140625" bestFit="1" customWidth="1"/>
  </cols>
  <sheetData>
    <row r="1" spans="1:15" ht="18.75">
      <c r="A1" s="87" t="s">
        <v>19</v>
      </c>
      <c r="B1" s="87"/>
      <c r="C1" s="87"/>
      <c r="D1" s="87"/>
      <c r="E1" s="87"/>
    </row>
    <row r="2" spans="1:15">
      <c r="A2" s="90" t="s">
        <v>16</v>
      </c>
      <c r="B2" s="91"/>
      <c r="C2" s="91"/>
      <c r="D2" s="91"/>
      <c r="E2" s="91"/>
      <c r="K2" s="10"/>
    </row>
    <row r="3" spans="1:15" ht="18.95" customHeight="1">
      <c r="A3" s="33" t="s">
        <v>59</v>
      </c>
      <c r="B3" s="9">
        <v>1E-4</v>
      </c>
      <c r="D3" s="81" t="s">
        <v>134</v>
      </c>
      <c r="E3" s="79">
        <v>2500</v>
      </c>
      <c r="F3" s="80">
        <f>E3/I3</f>
        <v>4.9999999900000001E-2</v>
      </c>
      <c r="I3" s="34">
        <f>B3+B4</f>
        <v>50000.000099999997</v>
      </c>
      <c r="K3" s="10"/>
    </row>
    <row r="4" spans="1:15" ht="18.95" customHeight="1">
      <c r="A4" s="33" t="s">
        <v>60</v>
      </c>
      <c r="B4" s="9">
        <v>50000</v>
      </c>
      <c r="D4" s="81" t="s">
        <v>135</v>
      </c>
      <c r="E4" s="79">
        <v>35000</v>
      </c>
      <c r="F4" s="80">
        <f>E4/B4</f>
        <v>0.7</v>
      </c>
      <c r="G4">
        <f>81/148</f>
        <v>0.54729729729729726</v>
      </c>
      <c r="K4" s="10"/>
    </row>
    <row r="5" spans="1:15" ht="15.75">
      <c r="B5" s="15" t="s">
        <v>17</v>
      </c>
      <c r="C5" s="12">
        <v>6.7799999999999999E-2</v>
      </c>
      <c r="D5" s="81" t="s">
        <v>136</v>
      </c>
      <c r="E5" s="79">
        <v>1.0000000000000001E-5</v>
      </c>
      <c r="F5" s="80">
        <f>E5/B3</f>
        <v>0.1</v>
      </c>
      <c r="K5" s="10"/>
    </row>
    <row r="6" spans="1:15" ht="15.75">
      <c r="A6" s="4" t="s">
        <v>1</v>
      </c>
      <c r="B6" s="8">
        <f>I3-I3*C5</f>
        <v>46610.000093219998</v>
      </c>
      <c r="K6" s="10"/>
    </row>
    <row r="7" spans="1:15" ht="15.75">
      <c r="A7" s="4" t="s">
        <v>25</v>
      </c>
      <c r="B7" s="11">
        <v>0.7</v>
      </c>
      <c r="D7" s="15" t="s">
        <v>40</v>
      </c>
      <c r="E7" s="12">
        <f>7%+5%+5%+3.65%</f>
        <v>0.20650000000000002</v>
      </c>
      <c r="K7" s="10"/>
      <c r="N7" s="36">
        <v>100</v>
      </c>
    </row>
    <row r="8" spans="1:15" ht="15.75">
      <c r="A8" s="15" t="s">
        <v>77</v>
      </c>
      <c r="B8" s="37">
        <f>7%+3.65%+10%+3.5%</f>
        <v>0.24150000000000002</v>
      </c>
      <c r="D8" s="15"/>
      <c r="E8" s="12"/>
      <c r="K8" s="10"/>
      <c r="N8" s="36"/>
    </row>
    <row r="9" spans="1:15" ht="15.75">
      <c r="A9" s="20" t="s">
        <v>5</v>
      </c>
      <c r="B9" s="12">
        <v>0.28000000000000003</v>
      </c>
      <c r="D9" s="4" t="s">
        <v>4</v>
      </c>
      <c r="E9" s="11">
        <v>0.24</v>
      </c>
      <c r="H9" s="10"/>
      <c r="I9" s="10"/>
      <c r="J9" s="10"/>
      <c r="K9" s="10"/>
      <c r="N9">
        <v>10</v>
      </c>
      <c r="O9" t="s">
        <v>67</v>
      </c>
    </row>
    <row r="10" spans="1:15">
      <c r="H10" s="10"/>
      <c r="I10" s="10"/>
      <c r="J10" s="10"/>
      <c r="K10" s="10"/>
      <c r="N10">
        <v>15</v>
      </c>
      <c r="O10" t="s">
        <v>68</v>
      </c>
    </row>
    <row r="11" spans="1:15" ht="18.75">
      <c r="A11" s="88" t="s">
        <v>18</v>
      </c>
      <c r="B11" s="88"/>
      <c r="C11" s="88"/>
      <c r="D11" s="88"/>
      <c r="E11" s="88"/>
      <c r="G11" s="10"/>
      <c r="H11" s="10"/>
      <c r="I11" s="10"/>
      <c r="J11" s="10"/>
      <c r="K11" s="10"/>
      <c r="N11">
        <v>3.65</v>
      </c>
      <c r="O11" t="s">
        <v>69</v>
      </c>
    </row>
    <row r="12" spans="1:15" ht="18.75">
      <c r="A12" s="1"/>
      <c r="B12" s="1"/>
      <c r="C12" s="1"/>
      <c r="D12" s="1"/>
      <c r="E12" s="1"/>
      <c r="G12" s="10"/>
      <c r="H12" s="10"/>
      <c r="I12" s="10"/>
      <c r="J12" s="10"/>
      <c r="K12" s="10"/>
      <c r="N12">
        <f>SUM(N9:N11)</f>
        <v>28.65</v>
      </c>
      <c r="O12" s="14">
        <f>+N7-N12</f>
        <v>71.349999999999994</v>
      </c>
    </row>
    <row r="13" spans="1:15" ht="15.75">
      <c r="A13" s="2" t="s">
        <v>0</v>
      </c>
      <c r="B13" s="2" t="s">
        <v>13</v>
      </c>
      <c r="C13" s="2" t="s">
        <v>12</v>
      </c>
      <c r="D13" s="2" t="s">
        <v>14</v>
      </c>
      <c r="E13" s="2" t="s">
        <v>12</v>
      </c>
      <c r="G13" s="86" t="s">
        <v>56</v>
      </c>
      <c r="H13" s="86"/>
      <c r="I13" s="86"/>
      <c r="J13" s="86"/>
      <c r="K13" s="10"/>
      <c r="O13">
        <f>+O12*1.27</f>
        <v>90.614499999999992</v>
      </c>
    </row>
    <row r="14" spans="1:15" ht="21.95" customHeight="1">
      <c r="A14" s="6" t="s">
        <v>15</v>
      </c>
      <c r="B14" s="22">
        <f>+I3</f>
        <v>50000.000099999997</v>
      </c>
      <c r="C14" s="23">
        <f>B14/$B$14</f>
        <v>1</v>
      </c>
      <c r="D14" s="22">
        <f>+B16</f>
        <v>46610.000093219998</v>
      </c>
      <c r="E14" s="23">
        <f>D14/$D$14</f>
        <v>1</v>
      </c>
      <c r="I14" s="32" t="s">
        <v>45</v>
      </c>
      <c r="J14" s="32" t="s">
        <v>46</v>
      </c>
      <c r="K14" s="32" t="s">
        <v>61</v>
      </c>
    </row>
    <row r="15" spans="1:15" ht="18.95" customHeight="1">
      <c r="A15" s="21" t="s">
        <v>31</v>
      </c>
      <c r="B15" s="24">
        <f>-I3*C5</f>
        <v>-3390.0000067799997</v>
      </c>
      <c r="C15" s="25">
        <f>B15/$B$14</f>
        <v>-6.7799999999999999E-2</v>
      </c>
      <c r="D15" s="24">
        <v>0</v>
      </c>
      <c r="E15" s="25">
        <f>D15/$D$14</f>
        <v>0</v>
      </c>
      <c r="H15" s="15" t="s">
        <v>41</v>
      </c>
      <c r="I15" s="13">
        <f>I3*F3</f>
        <v>2500</v>
      </c>
      <c r="J15" s="13">
        <f>B3*F5</f>
        <v>1.0000000000000001E-5</v>
      </c>
      <c r="K15" s="30">
        <f>+B4*F4</f>
        <v>35000</v>
      </c>
      <c r="L15" s="14"/>
    </row>
    <row r="16" spans="1:15" ht="21.95" customHeight="1">
      <c r="A16" s="5" t="s">
        <v>6</v>
      </c>
      <c r="B16" s="22">
        <f>SUM(B14:B15)</f>
        <v>46610.000093219998</v>
      </c>
      <c r="C16" s="23">
        <f t="shared" ref="C16:C22" si="0">B16/$B$14</f>
        <v>0.93220000000000003</v>
      </c>
      <c r="D16" s="22">
        <f>SUM(D14:D15)</f>
        <v>46610.000093219998</v>
      </c>
      <c r="E16" s="23">
        <f t="shared" ref="E16:E22" si="1">D16/$D$14</f>
        <v>1</v>
      </c>
      <c r="H16" s="27" t="s">
        <v>42</v>
      </c>
      <c r="I16" s="13">
        <f>-(I15*B7*E7)</f>
        <v>-361.37500000000006</v>
      </c>
      <c r="J16" s="13">
        <f>-J15*$B$8</f>
        <v>-2.4150000000000006E-6</v>
      </c>
      <c r="K16" s="13">
        <f>-(K15*B7*E7)</f>
        <v>-5059.25</v>
      </c>
      <c r="L16" t="s">
        <v>62</v>
      </c>
    </row>
    <row r="17" spans="1:12" ht="17.100000000000001" customHeight="1">
      <c r="A17" s="21" t="s">
        <v>64</v>
      </c>
      <c r="B17" s="24">
        <f>-F5*B3-B4*F4</f>
        <v>-35000.000010000003</v>
      </c>
      <c r="C17" s="25">
        <f t="shared" si="0"/>
        <v>-0.69999999880000008</v>
      </c>
      <c r="D17" s="24">
        <f>-J17-K17</f>
        <v>-29940.750007585</v>
      </c>
      <c r="E17" s="25">
        <f t="shared" si="1"/>
        <v>-0.64236751657806268</v>
      </c>
      <c r="F17" s="7" t="s">
        <v>20</v>
      </c>
      <c r="H17" s="28" t="s">
        <v>43</v>
      </c>
      <c r="I17" s="29">
        <f>SUM(I15:I16)</f>
        <v>2138.625</v>
      </c>
      <c r="J17" s="29">
        <f>SUM(J15:J16)</f>
        <v>7.5850000000000002E-6</v>
      </c>
      <c r="K17" s="29">
        <f>SUM(K15:K16)</f>
        <v>29940.75</v>
      </c>
      <c r="L17" s="35"/>
    </row>
    <row r="18" spans="1:12" ht="21.95" customHeight="1">
      <c r="A18" s="5" t="s">
        <v>7</v>
      </c>
      <c r="B18" s="22">
        <f>SUM(B16:B17)</f>
        <v>11610.000083219995</v>
      </c>
      <c r="C18" s="23">
        <f t="shared" si="0"/>
        <v>0.23220000119999989</v>
      </c>
      <c r="D18" s="22">
        <f>SUM(D16:D17)</f>
        <v>16669.250085634998</v>
      </c>
      <c r="E18" s="23">
        <f t="shared" si="1"/>
        <v>0.35763248342193732</v>
      </c>
      <c r="H18" s="27" t="s">
        <v>51</v>
      </c>
      <c r="I18" s="30">
        <f>+I17*B7*B9</f>
        <v>419.1705</v>
      </c>
      <c r="J18" s="13">
        <f>J17*$B$9</f>
        <v>2.1238000000000003E-6</v>
      </c>
      <c r="K18" s="13">
        <f>K17*$B$9*B7</f>
        <v>5868.3870000000006</v>
      </c>
    </row>
    <row r="19" spans="1:12" ht="15" customHeight="1">
      <c r="A19" s="21" t="s">
        <v>8</v>
      </c>
      <c r="B19" s="24">
        <f>-F3*I3</f>
        <v>-2500</v>
      </c>
      <c r="C19" s="25">
        <f t="shared" si="0"/>
        <v>-4.9999999900000001E-2</v>
      </c>
      <c r="D19" s="24">
        <f>-I17</f>
        <v>-2138.625</v>
      </c>
      <c r="E19" s="25">
        <f t="shared" si="1"/>
        <v>-4.5883394029666381E-2</v>
      </c>
      <c r="H19" s="28" t="s">
        <v>44</v>
      </c>
      <c r="I19" s="31">
        <f>I17+I18</f>
        <v>2557.7955000000002</v>
      </c>
      <c r="J19" s="31">
        <f>J17+J18</f>
        <v>9.708800000000001E-6</v>
      </c>
      <c r="K19" s="31">
        <f>K17+K18</f>
        <v>35809.137000000002</v>
      </c>
    </row>
    <row r="20" spans="1:12" ht="21.95" customHeight="1">
      <c r="A20" s="5" t="s">
        <v>9</v>
      </c>
      <c r="B20" s="22">
        <f>SUM(B18:B19)</f>
        <v>9110.0000832199948</v>
      </c>
      <c r="C20" s="23">
        <f t="shared" si="0"/>
        <v>0.18220000129999991</v>
      </c>
      <c r="D20" s="22">
        <f>SUM(D18:D19)</f>
        <v>14530.625085634998</v>
      </c>
      <c r="E20" s="23">
        <f t="shared" si="1"/>
        <v>0.31174908939227092</v>
      </c>
      <c r="G20" s="10"/>
      <c r="H20" s="10"/>
      <c r="I20" s="10"/>
      <c r="J20" s="10"/>
      <c r="K20" s="10"/>
    </row>
    <row r="21" spans="1:12" ht="15" customHeight="1">
      <c r="A21" s="21" t="s">
        <v>10</v>
      </c>
      <c r="B21" s="24">
        <f>-IF(B20&lt;=0,0,B20*0.24)+IF(B20&gt;240000,(B20-240000)*0.1)</f>
        <v>-2186.4000199727989</v>
      </c>
      <c r="C21" s="25">
        <f t="shared" si="0"/>
        <v>-4.3728000311999977E-2</v>
      </c>
      <c r="D21" s="24">
        <f>-IF(D20&lt;=0,0,D20*0.24)+IF(D20&gt;240000,(D20-240000)*0.1)</f>
        <v>-3487.3500205523992</v>
      </c>
      <c r="E21" s="25">
        <f t="shared" si="1"/>
        <v>-7.4819781454145015E-2</v>
      </c>
      <c r="G21" s="10"/>
      <c r="H21" s="10"/>
      <c r="I21" s="10"/>
      <c r="J21" s="10"/>
      <c r="K21" s="10"/>
    </row>
    <row r="22" spans="1:12" ht="20.100000000000001" customHeight="1">
      <c r="A22" s="5" t="s">
        <v>11</v>
      </c>
      <c r="B22" s="22">
        <f>SUM(B20:B21)</f>
        <v>6923.600063247196</v>
      </c>
      <c r="C22" s="23">
        <f t="shared" si="0"/>
        <v>0.13847200098799992</v>
      </c>
      <c r="D22" s="22">
        <f>SUM(D20:D21)</f>
        <v>11043.275065082598</v>
      </c>
      <c r="E22" s="23">
        <f t="shared" si="1"/>
        <v>0.23692930793812592</v>
      </c>
      <c r="F22" s="43"/>
      <c r="G22" s="30"/>
      <c r="H22" s="10"/>
      <c r="I22" s="10"/>
      <c r="J22" s="10"/>
      <c r="K22" s="10"/>
    </row>
    <row r="23" spans="1:12" ht="6.95" customHeight="1">
      <c r="G23" s="10"/>
      <c r="H23" s="10"/>
      <c r="I23" s="10"/>
      <c r="J23" s="10"/>
      <c r="K23" s="10"/>
    </row>
    <row r="24" spans="1:12">
      <c r="A24" s="89" t="str">
        <f>"**Obs: O valor do CMV é reduzido, pois os produtos do fornecedor também irão retirar os impostos sobre o consumo dos seus preços. Desse modo o resultado líquido do exerício foi de R$ " &amp; TEXT(D22-B22, "#.##0,00") &amp; " maior do que antes da reforma, ou seja " &amp; TEXT(((D22-B22)/D22)*100, "0,00") &amp; "% a mais de lucros com a modificação dos impostos"</f>
        <v>**Obs: O valor do CMV é reduzido, pois os produtos do fornecedor também irão retirar os impostos sobre o consumo dos seus preços. Desse modo o resultado líquido do exerício foi de R$ 4.119,68 maior do que antes da reforma, ou seja 37,30% a mais de lucros com a modificação dos impostos</v>
      </c>
      <c r="B24" s="89"/>
      <c r="C24" s="89"/>
      <c r="D24" s="89"/>
      <c r="E24" s="89"/>
      <c r="G24" s="10"/>
      <c r="H24" s="10"/>
      <c r="I24" s="30">
        <v>100</v>
      </c>
      <c r="J24" s="30">
        <v>97</v>
      </c>
      <c r="K24" s="30">
        <v>102</v>
      </c>
    </row>
    <row r="25" spans="1:12">
      <c r="A25" s="89"/>
      <c r="B25" s="89"/>
      <c r="C25" s="89"/>
      <c r="D25" s="89"/>
      <c r="E25" s="89"/>
      <c r="G25" s="10"/>
      <c r="H25" s="10"/>
      <c r="I25" s="30">
        <f>+I24*1.27</f>
        <v>127</v>
      </c>
      <c r="J25" s="30">
        <f>+J24*1.27</f>
        <v>123.19</v>
      </c>
      <c r="K25" s="30">
        <f>+K24*1.27</f>
        <v>129.54</v>
      </c>
    </row>
    <row r="26" spans="1:12" ht="9" customHeight="1">
      <c r="A26" s="89"/>
      <c r="B26" s="89"/>
      <c r="C26" s="89"/>
      <c r="D26" s="89"/>
      <c r="E26" s="89"/>
      <c r="G26" s="10"/>
      <c r="H26" s="10"/>
      <c r="J26" s="10"/>
      <c r="K26" s="10"/>
    </row>
    <row r="27" spans="1:12">
      <c r="A27" s="10"/>
      <c r="B27" s="10"/>
      <c r="C27" s="10"/>
      <c r="D27" s="10"/>
      <c r="E27" s="10"/>
      <c r="F27" s="10"/>
      <c r="G27" s="10"/>
      <c r="H27" s="10"/>
      <c r="I27" s="10">
        <v>27</v>
      </c>
      <c r="J27" s="10"/>
      <c r="K27" s="10"/>
    </row>
    <row r="28" spans="1:12">
      <c r="A28" s="26" t="s">
        <v>47</v>
      </c>
      <c r="B28" s="10"/>
      <c r="C28" s="10"/>
      <c r="D28" s="10"/>
      <c r="E28" s="10"/>
      <c r="F28" s="10"/>
      <c r="G28" s="10" t="s">
        <v>133</v>
      </c>
      <c r="H28" s="10"/>
      <c r="I28" s="10"/>
      <c r="J28" s="10"/>
      <c r="K28" s="10"/>
    </row>
    <row r="29" spans="1:12">
      <c r="A29" s="82" t="s">
        <v>48</v>
      </c>
      <c r="B29" s="83"/>
      <c r="C29" s="83"/>
      <c r="D29" s="83"/>
      <c r="E29" s="83"/>
      <c r="F29" s="10"/>
      <c r="G29" s="10"/>
      <c r="H29" s="10"/>
      <c r="I29" s="10"/>
      <c r="J29" s="10"/>
      <c r="K29" s="10"/>
    </row>
    <row r="30" spans="1:12" ht="30.95" customHeight="1">
      <c r="A30" s="83"/>
      <c r="B30" s="83"/>
      <c r="C30" s="83"/>
      <c r="D30" s="83"/>
      <c r="E30" s="83"/>
      <c r="F30" s="10"/>
      <c r="G30" s="10"/>
      <c r="H30" s="10"/>
      <c r="I30" s="10"/>
      <c r="J30" s="10"/>
      <c r="K30" s="10"/>
    </row>
    <row r="31" spans="1:12">
      <c r="A31" s="82" t="s">
        <v>76</v>
      </c>
      <c r="B31" s="83"/>
      <c r="C31" s="83"/>
      <c r="D31" s="83"/>
      <c r="E31" s="83"/>
      <c r="F31" s="10"/>
      <c r="G31" s="10"/>
      <c r="H31" s="10"/>
      <c r="I31" s="10"/>
      <c r="J31" s="10"/>
      <c r="K31" s="10"/>
    </row>
    <row r="32" spans="1:12" ht="45.95" customHeight="1">
      <c r="A32" s="83"/>
      <c r="B32" s="83"/>
      <c r="C32" s="83"/>
      <c r="D32" s="83"/>
      <c r="E32" s="83"/>
      <c r="F32" s="10"/>
      <c r="G32" s="10"/>
      <c r="H32" s="10"/>
      <c r="I32" s="10"/>
      <c r="J32" s="10"/>
      <c r="K32" s="10"/>
    </row>
    <row r="33" spans="1:11">
      <c r="A33" s="82" t="s">
        <v>50</v>
      </c>
      <c r="B33" s="83"/>
      <c r="C33" s="83"/>
      <c r="D33" s="83"/>
      <c r="E33" s="83"/>
      <c r="F33" s="10"/>
      <c r="G33" s="10"/>
      <c r="H33" s="10"/>
      <c r="I33" s="10"/>
      <c r="J33" s="10"/>
      <c r="K33" s="10"/>
    </row>
    <row r="34" spans="1:11" ht="63.95" customHeight="1">
      <c r="A34" s="83"/>
      <c r="B34" s="83"/>
      <c r="C34" s="83"/>
      <c r="D34" s="83"/>
      <c r="E34" s="83"/>
      <c r="F34" s="10"/>
      <c r="G34" s="10"/>
      <c r="H34" s="10"/>
      <c r="I34" s="10"/>
      <c r="J34" s="10"/>
      <c r="K34" s="10"/>
    </row>
    <row r="35" spans="1:11">
      <c r="A35" s="84" t="s">
        <v>52</v>
      </c>
      <c r="B35" s="85"/>
      <c r="C35" s="85"/>
      <c r="D35" s="85"/>
      <c r="E35" s="85"/>
      <c r="F35" s="10"/>
      <c r="G35" s="10"/>
    </row>
    <row r="36" spans="1:11" ht="5.0999999999999996" customHeight="1">
      <c r="A36" s="85"/>
      <c r="B36" s="85"/>
      <c r="C36" s="85"/>
      <c r="D36" s="85"/>
      <c r="E36" s="85"/>
      <c r="F36" s="10"/>
      <c r="G36" s="10"/>
    </row>
    <row r="37" spans="1:11">
      <c r="A37" s="10" t="s">
        <v>53</v>
      </c>
      <c r="B37" s="10"/>
      <c r="C37" s="10"/>
      <c r="D37" s="10"/>
      <c r="E37" s="10"/>
      <c r="F37" s="10"/>
      <c r="G37" s="10"/>
    </row>
    <row r="38" spans="1:11">
      <c r="A38" s="10" t="s">
        <v>54</v>
      </c>
      <c r="B38" s="10"/>
      <c r="C38" s="10"/>
      <c r="D38" s="10"/>
      <c r="E38" s="10"/>
      <c r="F38" s="10"/>
      <c r="G38" s="10"/>
    </row>
    <row r="39" spans="1:11">
      <c r="A39" s="82" t="s">
        <v>55</v>
      </c>
      <c r="B39" s="83"/>
      <c r="C39" s="83"/>
      <c r="D39" s="83"/>
      <c r="E39" s="83"/>
      <c r="F39" s="10"/>
      <c r="G39" s="10"/>
    </row>
    <row r="40" spans="1:11" ht="32.1" customHeight="1">
      <c r="A40" s="83"/>
      <c r="B40" s="83"/>
      <c r="C40" s="83"/>
      <c r="D40" s="83"/>
      <c r="E40" s="83"/>
      <c r="F40" s="10"/>
      <c r="G40" s="10"/>
    </row>
    <row r="41" spans="1:11">
      <c r="A41" s="10"/>
      <c r="B41" s="10"/>
      <c r="C41" s="10"/>
      <c r="D41" s="10"/>
      <c r="E41" s="10"/>
      <c r="F41" s="10"/>
      <c r="G41" s="10"/>
    </row>
    <row r="42" spans="1:11">
      <c r="A42" s="10"/>
      <c r="B42" s="10"/>
      <c r="C42" s="10"/>
      <c r="D42" s="10"/>
      <c r="E42" s="10"/>
      <c r="F42" s="10"/>
      <c r="G42" s="10"/>
    </row>
    <row r="43" spans="1:11">
      <c r="A43" s="10"/>
      <c r="B43" s="10"/>
      <c r="C43" s="10"/>
      <c r="D43" s="10"/>
      <c r="E43" s="10"/>
      <c r="F43" s="10"/>
      <c r="G43" s="10"/>
    </row>
    <row r="44" spans="1:11">
      <c r="A44" s="10"/>
      <c r="B44" s="10"/>
      <c r="C44" s="10"/>
      <c r="D44" s="10"/>
      <c r="E44" s="10"/>
      <c r="F44" s="10"/>
      <c r="G44" s="10"/>
    </row>
    <row r="45" spans="1:11">
      <c r="A45" s="10"/>
      <c r="B45" s="10"/>
      <c r="C45" s="10"/>
      <c r="D45" s="10"/>
      <c r="E45" s="10"/>
      <c r="F45" s="10"/>
      <c r="G45" s="10"/>
    </row>
    <row r="46" spans="1:11">
      <c r="A46" s="10"/>
      <c r="B46" s="10"/>
      <c r="C46" s="10"/>
      <c r="D46" s="10"/>
      <c r="E46" s="10"/>
      <c r="F46" s="10"/>
      <c r="G46" s="10"/>
    </row>
    <row r="47" spans="1:11">
      <c r="A47" s="10"/>
      <c r="B47" s="10"/>
      <c r="C47" s="10"/>
      <c r="D47" s="10"/>
      <c r="E47" s="10"/>
      <c r="F47" s="10"/>
      <c r="G47" s="10"/>
    </row>
    <row r="48" spans="1:11">
      <c r="A48" s="10"/>
      <c r="B48" s="10"/>
      <c r="C48" s="10"/>
      <c r="D48" s="10"/>
      <c r="E48" s="10"/>
      <c r="F48" s="10"/>
      <c r="G48" s="10"/>
    </row>
  </sheetData>
  <sheetProtection sheet="1" objects="1" scenarios="1"/>
  <mergeCells count="10">
    <mergeCell ref="A1:E1"/>
    <mergeCell ref="A11:E11"/>
    <mergeCell ref="A24:E26"/>
    <mergeCell ref="A2:E2"/>
    <mergeCell ref="A29:E30"/>
    <mergeCell ref="A31:E32"/>
    <mergeCell ref="A33:E34"/>
    <mergeCell ref="A35:E36"/>
    <mergeCell ref="A39:E40"/>
    <mergeCell ref="G13:J13"/>
  </mergeCells>
  <hyperlinks>
    <hyperlink ref="A2" r:id="rId1" xr:uid="{E251E4C3-67B4-F149-BB29-01DF407F88A7}"/>
  </hyperlinks>
  <pageMargins left="0.7" right="0.7" top="0.75" bottom="0.75" header="0.3" footer="0.3"/>
  <pageSetup paperSize="9" scale="81" orientation="portrait" horizontalDpi="0" verticalDpi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E942-E3C6-1C46-BA36-408947DCD411}">
  <dimension ref="A1:L49"/>
  <sheetViews>
    <sheetView showGridLines="0" zoomScale="242" zoomScaleNormal="193" workbookViewId="0">
      <pane ySplit="1" topLeftCell="A2" activePane="bottomLeft" state="frozen"/>
      <selection pane="bottomLeft" activeCell="B5" sqref="B5"/>
    </sheetView>
  </sheetViews>
  <sheetFormatPr defaultColWidth="8.85546875" defaultRowHeight="15"/>
  <cols>
    <col min="1" max="1" width="37.28515625" customWidth="1"/>
    <col min="2" max="2" width="14" bestFit="1" customWidth="1"/>
    <col min="4" max="4" width="15.7109375" bestFit="1" customWidth="1"/>
    <col min="6" max="6" width="6.28515625" customWidth="1"/>
    <col min="7" max="7" width="10.42578125" bestFit="1" customWidth="1"/>
    <col min="8" max="8" width="12.42578125" customWidth="1"/>
    <col min="9" max="9" width="13.140625" bestFit="1" customWidth="1"/>
    <col min="10" max="10" width="13.140625" customWidth="1"/>
    <col min="11" max="11" width="11.140625" bestFit="1" customWidth="1"/>
  </cols>
  <sheetData>
    <row r="1" spans="1:12" ht="18.75">
      <c r="A1" s="87" t="s">
        <v>21</v>
      </c>
      <c r="B1" s="87"/>
      <c r="C1" s="87"/>
      <c r="D1" s="87"/>
      <c r="E1" s="87"/>
    </row>
    <row r="2" spans="1:12">
      <c r="A2" s="90" t="s">
        <v>16</v>
      </c>
      <c r="B2" s="91"/>
      <c r="C2" s="91"/>
      <c r="D2" s="91"/>
      <c r="E2" s="91"/>
      <c r="H2" s="10"/>
      <c r="I2" s="10"/>
      <c r="J2" s="10"/>
      <c r="K2" s="10"/>
      <c r="L2" s="10"/>
    </row>
    <row r="3" spans="1:12" ht="15.75">
      <c r="A3" s="4" t="s">
        <v>22</v>
      </c>
      <c r="B3" s="16">
        <f>SUM(B4+B5)</f>
        <v>50000.000099999997</v>
      </c>
      <c r="D3" s="15" t="s">
        <v>40</v>
      </c>
      <c r="E3" s="48">
        <f>'LUCRO REAL'!E7</f>
        <v>0.20650000000000002</v>
      </c>
      <c r="H3" s="10"/>
      <c r="I3" s="10"/>
      <c r="J3" s="10"/>
      <c r="K3" s="10"/>
      <c r="L3" s="10"/>
    </row>
    <row r="4" spans="1:12" ht="15.75">
      <c r="A4" s="4" t="s">
        <v>23</v>
      </c>
      <c r="B4" s="46">
        <f>'LUCRO REAL'!B3</f>
        <v>1E-4</v>
      </c>
      <c r="D4" s="4" t="s">
        <v>2</v>
      </c>
      <c r="E4" s="47">
        <f>'LUCRO REAL'!F5</f>
        <v>0.1</v>
      </c>
      <c r="H4" s="10"/>
      <c r="I4" s="10"/>
      <c r="J4" s="10"/>
      <c r="K4" s="10"/>
      <c r="L4" s="10"/>
    </row>
    <row r="5" spans="1:12" ht="15.75">
      <c r="A5" s="4" t="s">
        <v>24</v>
      </c>
      <c r="B5" s="46">
        <f>'LUCRO REAL'!B4</f>
        <v>50000</v>
      </c>
      <c r="D5" s="15" t="s">
        <v>58</v>
      </c>
      <c r="E5" s="47">
        <f>'LUCRO REAL'!F4</f>
        <v>0.7</v>
      </c>
      <c r="H5" s="10"/>
      <c r="I5" s="10"/>
      <c r="J5" s="10"/>
      <c r="K5" s="10"/>
      <c r="L5" s="10"/>
    </row>
    <row r="6" spans="1:12" ht="15.75">
      <c r="A6" s="4" t="s">
        <v>1</v>
      </c>
      <c r="B6" s="8">
        <f>B3-B3*C7</f>
        <v>46720.000093439994</v>
      </c>
      <c r="D6" s="4" t="s">
        <v>3</v>
      </c>
      <c r="E6" s="47">
        <f>'LUCRO REAL'!F3</f>
        <v>4.9999999900000001E-2</v>
      </c>
      <c r="H6" s="10"/>
      <c r="I6" s="10"/>
      <c r="J6" s="10"/>
      <c r="K6" s="10"/>
      <c r="L6" s="10"/>
    </row>
    <row r="7" spans="1:12" ht="15.75">
      <c r="B7" s="15" t="s">
        <v>17</v>
      </c>
      <c r="C7" s="12">
        <f>3.62%+2.94%</f>
        <v>6.5600000000000006E-2</v>
      </c>
      <c r="D7" s="4" t="s">
        <v>26</v>
      </c>
      <c r="E7" s="47">
        <v>0.15</v>
      </c>
      <c r="H7" s="10"/>
      <c r="I7" s="10"/>
      <c r="J7" s="10"/>
      <c r="K7" s="10"/>
      <c r="L7" s="10"/>
    </row>
    <row r="8" spans="1:12" ht="15.75">
      <c r="A8" s="3" t="s">
        <v>25</v>
      </c>
      <c r="B8" s="47">
        <f>'LUCRO REAL'!B7</f>
        <v>0.7</v>
      </c>
      <c r="D8" s="4" t="s">
        <v>27</v>
      </c>
      <c r="E8" s="47">
        <v>0.09</v>
      </c>
      <c r="H8" s="10"/>
      <c r="I8" s="10"/>
      <c r="J8" s="10"/>
      <c r="K8" s="10"/>
      <c r="L8" s="10"/>
    </row>
    <row r="9" spans="1:12" ht="15.75">
      <c r="A9" s="15" t="s">
        <v>77</v>
      </c>
      <c r="B9" s="48">
        <f>'LUCRO REAL'!B8</f>
        <v>0.24150000000000002</v>
      </c>
      <c r="D9" s="4"/>
      <c r="E9" s="44"/>
      <c r="H9" s="10"/>
      <c r="I9" s="10"/>
      <c r="J9" s="10"/>
      <c r="K9" s="10"/>
      <c r="L9" s="10"/>
    </row>
    <row r="10" spans="1:12" ht="15.75">
      <c r="B10" s="20" t="s">
        <v>5</v>
      </c>
      <c r="C10" s="48">
        <f>'LUCRO REAL'!B9</f>
        <v>0.28000000000000003</v>
      </c>
      <c r="H10" s="10"/>
      <c r="I10" s="10"/>
      <c r="J10" s="10"/>
      <c r="K10" s="10"/>
      <c r="L10" s="10"/>
    </row>
    <row r="11" spans="1:12">
      <c r="H11" s="10"/>
      <c r="I11" s="10"/>
      <c r="J11" s="10"/>
      <c r="K11" s="10"/>
      <c r="L11" s="10"/>
    </row>
    <row r="12" spans="1:12" ht="18.75">
      <c r="A12" s="88" t="s">
        <v>29</v>
      </c>
      <c r="B12" s="88"/>
      <c r="C12" s="88"/>
      <c r="D12" s="88"/>
      <c r="E12" s="88"/>
      <c r="G12" s="10"/>
      <c r="H12" s="10"/>
      <c r="I12" s="10"/>
      <c r="J12" s="10"/>
      <c r="K12" s="10"/>
      <c r="L12" s="10"/>
    </row>
    <row r="13" spans="1:12" ht="18.75">
      <c r="A13" s="1"/>
      <c r="B13" s="1"/>
      <c r="C13" s="1"/>
      <c r="D13" s="1"/>
      <c r="E13" s="1"/>
      <c r="G13" s="10"/>
      <c r="H13" s="10"/>
      <c r="I13" s="10"/>
      <c r="J13" s="10"/>
      <c r="K13" s="10"/>
      <c r="L13" s="10"/>
    </row>
    <row r="14" spans="1:12" ht="15.75">
      <c r="A14" s="2" t="s">
        <v>0</v>
      </c>
      <c r="B14" s="2" t="s">
        <v>13</v>
      </c>
      <c r="C14" s="2" t="s">
        <v>12</v>
      </c>
      <c r="D14" s="2" t="s">
        <v>14</v>
      </c>
      <c r="E14" s="2" t="s">
        <v>12</v>
      </c>
      <c r="G14" s="86" t="s">
        <v>56</v>
      </c>
      <c r="H14" s="86"/>
      <c r="I14" s="86"/>
      <c r="J14" s="86"/>
      <c r="K14" s="10"/>
      <c r="L14" s="10"/>
    </row>
    <row r="15" spans="1:12" ht="21.95" customHeight="1">
      <c r="A15" s="6" t="s">
        <v>15</v>
      </c>
      <c r="B15" s="22">
        <f>+B3</f>
        <v>50000.000099999997</v>
      </c>
      <c r="C15" s="23">
        <f>B15/$B$15</f>
        <v>1</v>
      </c>
      <c r="D15" s="22">
        <f>+B17</f>
        <v>46720.000093439994</v>
      </c>
      <c r="E15" s="23">
        <f>D15/$D$15</f>
        <v>1</v>
      </c>
      <c r="I15" s="32" t="s">
        <v>45</v>
      </c>
      <c r="J15" s="32" t="s">
        <v>46</v>
      </c>
      <c r="K15" s="32" t="s">
        <v>57</v>
      </c>
      <c r="L15" s="10"/>
    </row>
    <row r="16" spans="1:12" ht="18.95" customHeight="1">
      <c r="A16" s="21" t="s">
        <v>30</v>
      </c>
      <c r="B16" s="24">
        <f>-B3*C7</f>
        <v>-3280.0000065600002</v>
      </c>
      <c r="C16" s="25">
        <f>B16/$B$15</f>
        <v>-6.5600000000000006E-2</v>
      </c>
      <c r="D16" s="24">
        <v>0</v>
      </c>
      <c r="E16" s="25">
        <f>D16/$D$15</f>
        <v>0</v>
      </c>
      <c r="H16" s="15" t="s">
        <v>41</v>
      </c>
      <c r="I16" s="13">
        <f>(SUM(B4:B5)*E6)</f>
        <v>2500</v>
      </c>
      <c r="J16" s="13">
        <f>(SUM(B4)*E4)</f>
        <v>1.0000000000000001E-5</v>
      </c>
      <c r="K16" s="13">
        <f>+(B5*E5)</f>
        <v>35000</v>
      </c>
      <c r="L16" s="10"/>
    </row>
    <row r="17" spans="1:12" ht="21.95" customHeight="1">
      <c r="A17" s="5" t="s">
        <v>6</v>
      </c>
      <c r="B17" s="22">
        <f>SUM(B15:B16)</f>
        <v>46720.000093439994</v>
      </c>
      <c r="C17" s="23">
        <f t="shared" ref="C17:C23" si="0">B17/$B$15</f>
        <v>0.9343999999999999</v>
      </c>
      <c r="D17" s="22">
        <f>SUM(D15:D16)</f>
        <v>46720.000093439994</v>
      </c>
      <c r="E17" s="23">
        <f t="shared" ref="E17:E23" si="1">D17/$D$15</f>
        <v>1</v>
      </c>
      <c r="H17" s="27" t="s">
        <v>42</v>
      </c>
      <c r="I17" s="13">
        <f>-(I16*B8*E3)</f>
        <v>-361.37500000000006</v>
      </c>
      <c r="J17" s="13">
        <f>-J16*B9</f>
        <v>-2.4150000000000006E-6</v>
      </c>
      <c r="K17" s="13">
        <f>-K16*E3*B8</f>
        <v>-5059.25</v>
      </c>
      <c r="L17" s="10"/>
    </row>
    <row r="18" spans="1:12" ht="17.100000000000001" customHeight="1">
      <c r="A18" s="21" t="s">
        <v>63</v>
      </c>
      <c r="B18" s="24">
        <f>-(B4*E4)-(B5*E5)</f>
        <v>-35000.000010000003</v>
      </c>
      <c r="C18" s="25">
        <f t="shared" si="0"/>
        <v>-0.69999999880000008</v>
      </c>
      <c r="D18" s="24">
        <f>-J18-K18</f>
        <v>-29940.750007585</v>
      </c>
      <c r="E18" s="25">
        <f t="shared" si="1"/>
        <v>-0.64085509305872224</v>
      </c>
      <c r="F18" s="7" t="s">
        <v>20</v>
      </c>
      <c r="H18" s="28" t="s">
        <v>43</v>
      </c>
      <c r="I18" s="29">
        <f>SUM(I16:I17)</f>
        <v>2138.625</v>
      </c>
      <c r="J18" s="29">
        <f>SUM(J16:J17)</f>
        <v>7.5850000000000002E-6</v>
      </c>
      <c r="K18" s="29">
        <f>SUM(K16:K17)</f>
        <v>29940.75</v>
      </c>
      <c r="L18" s="10"/>
    </row>
    <row r="19" spans="1:12" ht="21.95" customHeight="1">
      <c r="A19" s="5" t="s">
        <v>7</v>
      </c>
      <c r="B19" s="22">
        <f>SUM(B17:B18)</f>
        <v>11720.000083439991</v>
      </c>
      <c r="C19" s="23">
        <f t="shared" si="0"/>
        <v>0.23440000119999982</v>
      </c>
      <c r="D19" s="22">
        <f>SUM(D17:D18)</f>
        <v>16779.250085854994</v>
      </c>
      <c r="E19" s="23">
        <f t="shared" si="1"/>
        <v>0.35914490694127771</v>
      </c>
      <c r="H19" s="27" t="s">
        <v>51</v>
      </c>
      <c r="I19" s="30">
        <f>+I18*B8*C10</f>
        <v>419.1705</v>
      </c>
      <c r="J19" s="13">
        <f>J18*C10</f>
        <v>2.1238000000000003E-6</v>
      </c>
      <c r="K19" s="13">
        <f>K18*C10*B8</f>
        <v>5868.3870000000006</v>
      </c>
      <c r="L19" s="10"/>
    </row>
    <row r="20" spans="1:12" ht="15" customHeight="1">
      <c r="A20" s="21" t="s">
        <v>8</v>
      </c>
      <c r="B20" s="24">
        <f>-E6*B3</f>
        <v>-2500</v>
      </c>
      <c r="C20" s="25">
        <f t="shared" si="0"/>
        <v>-4.9999999900000001E-2</v>
      </c>
      <c r="D20" s="24">
        <f>-I18</f>
        <v>-2138.625</v>
      </c>
      <c r="E20" s="25">
        <f t="shared" si="1"/>
        <v>-4.5775363778312289E-2</v>
      </c>
      <c r="H20" s="28" t="s">
        <v>44</v>
      </c>
      <c r="I20" s="31">
        <f>I18+I19</f>
        <v>2557.7955000000002</v>
      </c>
      <c r="J20" s="31">
        <f>J18+J19</f>
        <v>9.708800000000001E-6</v>
      </c>
      <c r="K20" s="31">
        <f>K18+K19</f>
        <v>35809.137000000002</v>
      </c>
    </row>
    <row r="21" spans="1:12" ht="21.95" customHeight="1">
      <c r="A21" s="5" t="s">
        <v>9</v>
      </c>
      <c r="B21" s="22">
        <f>SUM(B19:B20)</f>
        <v>9220.0000834399907</v>
      </c>
      <c r="C21" s="23">
        <f t="shared" si="0"/>
        <v>0.18440000129999981</v>
      </c>
      <c r="D21" s="22">
        <f>SUM(D19:D20)</f>
        <v>14640.625085854994</v>
      </c>
      <c r="E21" s="23">
        <f t="shared" si="1"/>
        <v>0.31336954316296545</v>
      </c>
    </row>
    <row r="22" spans="1:12" ht="15" customHeight="1">
      <c r="A22" s="21" t="s">
        <v>10</v>
      </c>
      <c r="B22" s="24">
        <f>((B4*0.08*E7)+(B5*0.32*E7)+(B4*0.12*E8)+(B5*0.32*E8)+IF(H25&gt;240000,(H25-240000)*0.1,0))*-1</f>
        <v>-3840.00000228</v>
      </c>
      <c r="C22" s="25">
        <f t="shared" si="0"/>
        <v>-7.6799999892000009E-2</v>
      </c>
      <c r="D22" s="24">
        <f>((B4*0.08*E7)+(B5*0.32*E7)+(B4*0.12*E8)+(B5*0.32*E8)+IF(H25&gt;240000,(H25-240000)*0.1,0))*-1</f>
        <v>-3840.00000228</v>
      </c>
      <c r="E22" s="25">
        <f t="shared" si="1"/>
        <v>-8.2191780706335621E-2</v>
      </c>
      <c r="H22" s="13">
        <f>B4*0.08</f>
        <v>8.0000000000000013E-6</v>
      </c>
      <c r="I22" s="10" t="s">
        <v>28</v>
      </c>
    </row>
    <row r="23" spans="1:12" ht="20.100000000000001" customHeight="1">
      <c r="A23" s="5" t="s">
        <v>11</v>
      </c>
      <c r="B23" s="22">
        <f>SUM(B21:B22)</f>
        <v>5380.0000811599912</v>
      </c>
      <c r="C23" s="23">
        <f t="shared" si="0"/>
        <v>0.10760000140799983</v>
      </c>
      <c r="D23" s="22">
        <f>SUM(D21:D22)</f>
        <v>10800.625083574994</v>
      </c>
      <c r="E23" s="23">
        <f t="shared" si="1"/>
        <v>0.23117776245662983</v>
      </c>
      <c r="H23" s="14">
        <f>B5*0.32</f>
        <v>16000</v>
      </c>
      <c r="I23" s="10" t="s">
        <v>28</v>
      </c>
      <c r="J23" s="10"/>
      <c r="K23" s="10"/>
      <c r="L23" s="10"/>
    </row>
    <row r="24" spans="1:12" ht="6.95" customHeight="1">
      <c r="G24" s="10"/>
      <c r="J24" s="10"/>
      <c r="K24" s="10"/>
      <c r="L24" s="10"/>
    </row>
    <row r="25" spans="1:12" ht="15" customHeight="1">
      <c r="A25" s="89" t="str">
        <f>"**Obs: O valor do CMV é reduzido, pois os produtos do fornecedor também irão retirar os impostos sobre o consumo dos seus preços. Desse modo o resultado líquido do exerício foi de R$ " &amp; TEXT(D23-B23, "#.##0,00") &amp; " maior do que antes da reforma, ou seja " &amp; TEXT(((D23-B23)/D23)*100, "0,00") &amp; "% a mais de lucros com a modificação dos impostos"</f>
        <v>**Obs: O valor do CMV é reduzido, pois os produtos do fornecedor também irão retirar os impostos sobre o consumo dos seus preços. Desse modo o resultado líquido do exerício foi de R$ 5.420,63 maior do que antes da reforma, ou seja 50,19% a mais de lucros com a modificação dos impostos</v>
      </c>
      <c r="B25" s="89"/>
      <c r="C25" s="89"/>
      <c r="D25" s="89"/>
      <c r="E25" s="89"/>
      <c r="G25" s="10"/>
      <c r="H25" s="14">
        <f>SUM(H22:H23)</f>
        <v>16000.000008000001</v>
      </c>
      <c r="I25" s="10" t="s">
        <v>28</v>
      </c>
      <c r="J25" s="10"/>
      <c r="K25" s="10"/>
      <c r="L25" s="10"/>
    </row>
    <row r="26" spans="1:12">
      <c r="A26" s="89"/>
      <c r="B26" s="89"/>
      <c r="C26" s="89"/>
      <c r="D26" s="89"/>
      <c r="E26" s="89"/>
      <c r="G26" s="10"/>
      <c r="H26" s="10"/>
      <c r="I26" s="10"/>
      <c r="J26" s="10"/>
      <c r="K26" s="10"/>
      <c r="L26" s="10"/>
    </row>
    <row r="27" spans="1:12" ht="9" customHeight="1">
      <c r="A27" s="89"/>
      <c r="B27" s="89"/>
      <c r="C27" s="89"/>
      <c r="D27" s="89"/>
      <c r="E27" s="89"/>
      <c r="G27" s="10"/>
      <c r="H27" s="10"/>
      <c r="I27" s="10"/>
      <c r="J27" s="10"/>
      <c r="K27" s="10"/>
      <c r="L27" s="10"/>
    </row>
    <row r="28" spans="1:12">
      <c r="A28" s="26" t="s">
        <v>47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82" t="s">
        <v>48</v>
      </c>
      <c r="B29" s="83"/>
      <c r="C29" s="83"/>
      <c r="D29" s="83"/>
      <c r="E29" s="83"/>
      <c r="F29" s="10"/>
      <c r="G29" s="10"/>
      <c r="H29" s="10"/>
      <c r="I29" s="10"/>
      <c r="J29" s="10"/>
      <c r="K29" s="10"/>
      <c r="L29" s="10"/>
    </row>
    <row r="30" spans="1:12" ht="33" customHeight="1">
      <c r="A30" s="83"/>
      <c r="B30" s="83"/>
      <c r="C30" s="83"/>
      <c r="D30" s="83"/>
      <c r="E30" s="83"/>
      <c r="F30" s="10"/>
      <c r="G30" s="10"/>
      <c r="H30" s="10"/>
      <c r="I30" s="10"/>
      <c r="J30" s="10"/>
      <c r="K30" s="10"/>
      <c r="L30" s="10"/>
    </row>
    <row r="31" spans="1:12">
      <c r="A31" s="82" t="s">
        <v>49</v>
      </c>
      <c r="B31" s="83"/>
      <c r="C31" s="83"/>
      <c r="D31" s="83"/>
      <c r="E31" s="83"/>
      <c r="F31" s="10"/>
      <c r="G31" s="10"/>
      <c r="H31" s="10"/>
      <c r="I31" s="10"/>
      <c r="J31" s="10"/>
      <c r="K31" s="10"/>
      <c r="L31" s="10"/>
    </row>
    <row r="32" spans="1:12" ht="50.1" customHeight="1">
      <c r="A32" s="83"/>
      <c r="B32" s="83"/>
      <c r="C32" s="83"/>
      <c r="D32" s="83"/>
      <c r="E32" s="83"/>
      <c r="F32" s="10"/>
      <c r="G32" s="10"/>
      <c r="H32" s="10"/>
      <c r="I32" s="10"/>
      <c r="J32" s="10"/>
      <c r="K32" s="10"/>
      <c r="L32" s="10"/>
    </row>
    <row r="33" spans="1:12">
      <c r="A33" s="82" t="s">
        <v>50</v>
      </c>
      <c r="B33" s="83"/>
      <c r="C33" s="83"/>
      <c r="D33" s="83"/>
      <c r="E33" s="83"/>
      <c r="F33" s="10"/>
      <c r="G33" s="10"/>
      <c r="H33" s="10"/>
      <c r="I33" s="10"/>
      <c r="J33" s="10"/>
      <c r="K33" s="10"/>
      <c r="L33" s="10"/>
    </row>
    <row r="34" spans="1:12" ht="63" customHeight="1">
      <c r="A34" s="83"/>
      <c r="B34" s="83"/>
      <c r="C34" s="83"/>
      <c r="D34" s="83"/>
      <c r="E34" s="83"/>
      <c r="F34" s="10"/>
      <c r="G34" s="10"/>
      <c r="H34" s="10"/>
      <c r="I34" s="10"/>
      <c r="J34" s="10"/>
      <c r="K34" s="10"/>
      <c r="L34" s="10"/>
    </row>
    <row r="35" spans="1:12">
      <c r="A35" s="84" t="s">
        <v>52</v>
      </c>
      <c r="B35" s="85"/>
      <c r="C35" s="85"/>
      <c r="D35" s="85"/>
      <c r="E35" s="85"/>
      <c r="F35" s="10"/>
      <c r="G35" s="10"/>
      <c r="H35" s="10"/>
      <c r="I35" s="10"/>
      <c r="J35" s="10"/>
      <c r="K35" s="10"/>
      <c r="L35" s="10"/>
    </row>
    <row r="36" spans="1:12">
      <c r="A36" s="85"/>
      <c r="B36" s="85"/>
      <c r="C36" s="85"/>
      <c r="D36" s="85"/>
      <c r="E36" s="85"/>
      <c r="F36" s="10"/>
      <c r="G36" s="10"/>
    </row>
    <row r="37" spans="1:12">
      <c r="A37" s="10" t="s">
        <v>53</v>
      </c>
      <c r="B37" s="10"/>
      <c r="C37" s="10"/>
      <c r="D37" s="10"/>
      <c r="E37" s="10"/>
      <c r="F37" s="10"/>
      <c r="G37" s="10"/>
    </row>
    <row r="38" spans="1:12">
      <c r="A38" s="10" t="s">
        <v>54</v>
      </c>
      <c r="B38" s="10"/>
      <c r="C38" s="10"/>
      <c r="D38" s="10"/>
      <c r="E38" s="10"/>
      <c r="F38" s="10"/>
      <c r="G38" s="10"/>
    </row>
    <row r="39" spans="1:12">
      <c r="A39" s="82" t="s">
        <v>55</v>
      </c>
      <c r="B39" s="83"/>
      <c r="C39" s="83"/>
      <c r="D39" s="83"/>
      <c r="E39" s="83"/>
      <c r="F39" s="10"/>
      <c r="G39" s="10"/>
    </row>
    <row r="40" spans="1:12">
      <c r="A40" s="83"/>
      <c r="B40" s="83"/>
      <c r="C40" s="83"/>
      <c r="D40" s="83"/>
      <c r="E40" s="83"/>
      <c r="F40" s="10"/>
      <c r="G40" s="10"/>
    </row>
    <row r="41" spans="1:12">
      <c r="A41" s="10"/>
      <c r="B41" s="10"/>
      <c r="C41" s="10"/>
      <c r="D41" s="10"/>
      <c r="E41" s="10"/>
      <c r="F41" s="10"/>
      <c r="G41" s="10"/>
    </row>
    <row r="42" spans="1:12">
      <c r="A42" s="10"/>
      <c r="B42" s="10"/>
      <c r="C42" s="10"/>
      <c r="D42" s="10"/>
      <c r="E42" s="10"/>
      <c r="F42" s="10"/>
      <c r="G42" s="10"/>
    </row>
    <row r="43" spans="1:12">
      <c r="A43" s="10"/>
      <c r="B43" s="10"/>
      <c r="C43" s="10"/>
      <c r="D43" s="10"/>
      <c r="E43" s="10"/>
      <c r="F43" s="10"/>
      <c r="G43" s="10"/>
    </row>
    <row r="44" spans="1:12">
      <c r="A44" s="10"/>
      <c r="B44" s="10"/>
      <c r="C44" s="10"/>
      <c r="D44" s="10"/>
      <c r="E44" s="10"/>
      <c r="F44" s="10"/>
      <c r="G44" s="10"/>
    </row>
    <row r="45" spans="1:12">
      <c r="A45" s="10"/>
      <c r="B45" s="10"/>
      <c r="C45" s="10"/>
      <c r="D45" s="10"/>
      <c r="E45" s="10"/>
      <c r="F45" s="10"/>
      <c r="G45" s="10"/>
    </row>
    <row r="46" spans="1:12">
      <c r="A46" s="10"/>
      <c r="B46" s="10"/>
      <c r="C46" s="10"/>
      <c r="D46" s="10"/>
      <c r="E46" s="10"/>
      <c r="F46" s="10"/>
      <c r="G46" s="10"/>
    </row>
    <row r="47" spans="1:12">
      <c r="A47" s="10"/>
      <c r="B47" s="10"/>
      <c r="C47" s="10"/>
      <c r="D47" s="10"/>
      <c r="E47" s="10"/>
      <c r="F47" s="10"/>
      <c r="G47" s="10"/>
    </row>
    <row r="48" spans="1:12">
      <c r="A48" s="10"/>
      <c r="B48" s="10"/>
      <c r="C48" s="10"/>
      <c r="D48" s="10"/>
      <c r="E48" s="10"/>
      <c r="F48" s="10"/>
      <c r="G48" s="10"/>
    </row>
    <row r="49" spans="1:7">
      <c r="A49" s="10"/>
      <c r="B49" s="10"/>
      <c r="C49" s="10"/>
      <c r="D49" s="10"/>
      <c r="E49" s="10"/>
      <c r="F49" s="10"/>
      <c r="G49" s="10"/>
    </row>
  </sheetData>
  <sheetProtection sheet="1" objects="1" scenarios="1"/>
  <mergeCells count="10">
    <mergeCell ref="A29:E30"/>
    <mergeCell ref="A31:E32"/>
    <mergeCell ref="A33:E34"/>
    <mergeCell ref="A35:E36"/>
    <mergeCell ref="A39:E40"/>
    <mergeCell ref="G14:J14"/>
    <mergeCell ref="A1:E1"/>
    <mergeCell ref="A2:E2"/>
    <mergeCell ref="A12:E12"/>
    <mergeCell ref="A25:E27"/>
  </mergeCells>
  <hyperlinks>
    <hyperlink ref="A2" r:id="rId1" xr:uid="{DDA372EB-560A-0243-B90E-714A24E994EE}"/>
  </hyperlinks>
  <pageMargins left="0.7" right="0.7" top="0.75" bottom="0.75" header="0.3" footer="0.3"/>
  <pageSetup paperSize="9" scale="81" orientation="portrait" horizontalDpi="0" verticalDpi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ECF5-F068-DB4D-BF41-DB113F4C239B}">
  <dimension ref="A1:K51"/>
  <sheetViews>
    <sheetView showGridLines="0" zoomScale="185" zoomScaleNormal="193" workbookViewId="0">
      <pane ySplit="1" topLeftCell="A4" activePane="bottomLeft" state="frozen"/>
      <selection pane="bottomLeft" activeCell="B5" sqref="B5"/>
    </sheetView>
  </sheetViews>
  <sheetFormatPr defaultColWidth="8.85546875" defaultRowHeight="15"/>
  <cols>
    <col min="1" max="1" width="37.28515625" customWidth="1"/>
    <col min="2" max="2" width="14" bestFit="1" customWidth="1"/>
    <col min="4" max="4" width="15.7109375" bestFit="1" customWidth="1"/>
    <col min="6" max="6" width="6.28515625" customWidth="1"/>
    <col min="7" max="7" width="10.42578125" bestFit="1" customWidth="1"/>
    <col min="8" max="8" width="12.42578125" customWidth="1"/>
    <col min="9" max="9" width="13.140625" bestFit="1" customWidth="1"/>
    <col min="10" max="10" width="11.85546875" bestFit="1" customWidth="1"/>
    <col min="11" max="11" width="12.7109375" bestFit="1" customWidth="1"/>
  </cols>
  <sheetData>
    <row r="1" spans="1:11" ht="18.75">
      <c r="A1" s="87" t="s">
        <v>37</v>
      </c>
      <c r="B1" s="87"/>
      <c r="C1" s="87"/>
      <c r="D1" s="87"/>
      <c r="E1" s="87"/>
    </row>
    <row r="2" spans="1:11">
      <c r="A2" s="90" t="s">
        <v>16</v>
      </c>
      <c r="B2" s="91"/>
      <c r="C2" s="91"/>
      <c r="D2" s="91"/>
      <c r="E2" s="91"/>
      <c r="H2" s="10"/>
      <c r="I2" s="10"/>
      <c r="J2" s="10"/>
      <c r="K2" s="10"/>
    </row>
    <row r="3" spans="1:11" ht="15.75">
      <c r="A3" s="4" t="s">
        <v>22</v>
      </c>
      <c r="B3" s="16">
        <f>SUM(B4+B5)</f>
        <v>50000.000099999997</v>
      </c>
      <c r="D3" s="4" t="s">
        <v>2</v>
      </c>
      <c r="E3" s="47">
        <f>'LUCRO PRESUMIDO'!E4</f>
        <v>0.1</v>
      </c>
      <c r="H3" s="10"/>
      <c r="I3" s="10"/>
      <c r="J3" s="10"/>
      <c r="K3" s="10"/>
    </row>
    <row r="4" spans="1:11" ht="15.75">
      <c r="A4" s="4" t="s">
        <v>23</v>
      </c>
      <c r="B4" s="46">
        <f>'LUCRO PRESUMIDO'!B4</f>
        <v>1E-4</v>
      </c>
      <c r="D4" s="33" t="s">
        <v>66</v>
      </c>
      <c r="E4" s="47">
        <f>'LUCRO PRESUMIDO'!E5</f>
        <v>0.7</v>
      </c>
      <c r="H4" s="10"/>
      <c r="I4" s="10"/>
      <c r="J4" s="10"/>
      <c r="K4" s="10"/>
    </row>
    <row r="5" spans="1:11" ht="15.75">
      <c r="A5" s="4" t="s">
        <v>24</v>
      </c>
      <c r="B5" s="46">
        <f>'LUCRO PRESUMIDO'!B5</f>
        <v>50000</v>
      </c>
      <c r="D5" s="4" t="s">
        <v>3</v>
      </c>
      <c r="E5" s="47">
        <f>'LUCRO PRESUMIDO'!E6</f>
        <v>4.9999999900000001E-2</v>
      </c>
      <c r="H5" s="10"/>
      <c r="I5" s="10"/>
      <c r="J5" s="10"/>
      <c r="K5" s="10"/>
    </row>
    <row r="6" spans="1:11" ht="15.75">
      <c r="A6" s="4" t="s">
        <v>1</v>
      </c>
      <c r="B6" s="8">
        <f>B3-B3*B7</f>
        <v>46555.000093109993</v>
      </c>
      <c r="D6" s="19" t="s">
        <v>38</v>
      </c>
      <c r="E6" s="18" t="s">
        <v>39</v>
      </c>
      <c r="H6" s="10"/>
      <c r="I6" s="10"/>
      <c r="J6" s="10"/>
      <c r="K6" s="10"/>
    </row>
    <row r="7" spans="1:11" ht="15.75">
      <c r="A7" s="15" t="s">
        <v>73</v>
      </c>
      <c r="B7" s="12">
        <f>14.02%-E7-E8-E9</f>
        <v>6.8900000000000017E-2</v>
      </c>
      <c r="D7" s="17" t="s">
        <v>32</v>
      </c>
      <c r="E7" s="12">
        <v>5.5999999999999999E-3</v>
      </c>
      <c r="H7" s="10"/>
      <c r="I7" s="10"/>
      <c r="J7" s="10"/>
      <c r="K7" s="10"/>
    </row>
    <row r="8" spans="1:11" ht="15.75">
      <c r="A8" s="3" t="s">
        <v>25</v>
      </c>
      <c r="B8" s="47">
        <f>'LUCRO PRESUMIDO'!B8</f>
        <v>0.7</v>
      </c>
      <c r="D8" s="17" t="s">
        <v>33</v>
      </c>
      <c r="E8" s="12">
        <v>4.8999999999999998E-3</v>
      </c>
      <c r="H8" s="10"/>
      <c r="I8" s="10"/>
      <c r="J8" s="10"/>
      <c r="K8" s="10"/>
    </row>
    <row r="9" spans="1:11" ht="15.75">
      <c r="A9" s="3"/>
      <c r="B9" s="3"/>
      <c r="D9" s="17" t="s">
        <v>34</v>
      </c>
      <c r="E9" s="12">
        <v>6.08E-2</v>
      </c>
      <c r="H9" s="10"/>
      <c r="I9" s="10"/>
      <c r="J9" s="10"/>
      <c r="K9" s="10"/>
    </row>
    <row r="10" spans="1:11" ht="15.75">
      <c r="A10" s="15" t="s">
        <v>40</v>
      </c>
      <c r="B10" s="48">
        <f>'LUCRO PRESUMIDO'!E3</f>
        <v>0.20650000000000002</v>
      </c>
      <c r="D10" s="17"/>
      <c r="H10" s="10"/>
      <c r="I10" s="10"/>
      <c r="J10" s="10"/>
      <c r="K10" s="10"/>
    </row>
    <row r="11" spans="1:11" ht="15.75">
      <c r="A11" s="15" t="s">
        <v>77</v>
      </c>
      <c r="B11" s="48">
        <f>'LUCRO PRESUMIDO'!B9</f>
        <v>0.24150000000000002</v>
      </c>
      <c r="D11" s="17"/>
      <c r="H11" s="10"/>
      <c r="I11" s="10"/>
      <c r="J11" s="10"/>
      <c r="K11" s="10"/>
    </row>
    <row r="12" spans="1:11" ht="15.75">
      <c r="B12" s="20" t="s">
        <v>5</v>
      </c>
      <c r="C12" s="45">
        <f>'LUCRO PRESUMIDO'!C10</f>
        <v>0.28000000000000003</v>
      </c>
      <c r="D12" s="33" t="s">
        <v>65</v>
      </c>
      <c r="H12" s="10"/>
      <c r="I12" s="10"/>
      <c r="J12" s="10"/>
      <c r="K12" s="10"/>
    </row>
    <row r="13" spans="1:11">
      <c r="H13" s="10"/>
      <c r="I13" s="10"/>
      <c r="J13" s="10"/>
      <c r="K13" s="10"/>
    </row>
    <row r="14" spans="1:11" ht="18.75">
      <c r="A14" s="88" t="s">
        <v>36</v>
      </c>
      <c r="B14" s="88"/>
      <c r="C14" s="88"/>
      <c r="D14" s="88"/>
      <c r="E14" s="88"/>
      <c r="H14" s="10"/>
      <c r="I14" s="10"/>
      <c r="J14" s="10"/>
      <c r="K14" s="10"/>
    </row>
    <row r="15" spans="1:11" ht="18.75">
      <c r="A15" s="1"/>
      <c r="B15" s="1"/>
      <c r="C15" s="1"/>
      <c r="D15" s="1"/>
      <c r="E15" s="1"/>
      <c r="G15" s="10"/>
      <c r="H15" s="10"/>
      <c r="I15" s="10"/>
      <c r="J15" s="10"/>
      <c r="K15" s="10"/>
    </row>
    <row r="16" spans="1:11" ht="15.75">
      <c r="A16" s="2" t="s">
        <v>0</v>
      </c>
      <c r="B16" s="2" t="s">
        <v>13</v>
      </c>
      <c r="C16" s="2" t="s">
        <v>12</v>
      </c>
      <c r="D16" s="2" t="s">
        <v>14</v>
      </c>
      <c r="E16" s="2" t="s">
        <v>12</v>
      </c>
      <c r="G16" s="86" t="s">
        <v>56</v>
      </c>
      <c r="H16" s="86"/>
      <c r="I16" s="86"/>
      <c r="J16" s="86"/>
      <c r="K16" s="10"/>
    </row>
    <row r="17" spans="1:11" ht="21.95" customHeight="1">
      <c r="A17" s="6" t="s">
        <v>15</v>
      </c>
      <c r="B17" s="22">
        <f>+B3</f>
        <v>50000.000099999997</v>
      </c>
      <c r="C17" s="23">
        <f>B17/$B$17</f>
        <v>1</v>
      </c>
      <c r="D17" s="22">
        <f>+B19</f>
        <v>46555.000093109993</v>
      </c>
      <c r="E17" s="23">
        <f>D17/$D$17</f>
        <v>1</v>
      </c>
      <c r="I17" s="32" t="s">
        <v>45</v>
      </c>
      <c r="J17" s="32" t="s">
        <v>46</v>
      </c>
      <c r="K17" s="32" t="s">
        <v>57</v>
      </c>
    </row>
    <row r="18" spans="1:11" ht="18.95" customHeight="1">
      <c r="A18" s="21" t="s">
        <v>30</v>
      </c>
      <c r="B18" s="24">
        <f>-B3*B7</f>
        <v>-3445.0000068900008</v>
      </c>
      <c r="C18" s="25">
        <f>B18/$B$17</f>
        <v>-6.8900000000000017E-2</v>
      </c>
      <c r="D18" s="24">
        <v>0</v>
      </c>
      <c r="E18" s="25">
        <f>D18/$D$17</f>
        <v>0</v>
      </c>
      <c r="H18" s="15" t="s">
        <v>41</v>
      </c>
      <c r="I18" s="13">
        <f>(SUM(B4:B5)*E5)</f>
        <v>2500</v>
      </c>
      <c r="J18" s="13">
        <f>(SUM(B4)*E3)</f>
        <v>1.0000000000000001E-5</v>
      </c>
      <c r="K18" s="13">
        <f>+(B5*E4)</f>
        <v>35000</v>
      </c>
    </row>
    <row r="19" spans="1:11" ht="21.95" customHeight="1">
      <c r="A19" s="5" t="s">
        <v>6</v>
      </c>
      <c r="B19" s="22">
        <f>SUM(B17:B18)</f>
        <v>46555.000093109993</v>
      </c>
      <c r="C19" s="23">
        <f t="shared" ref="C19:C25" si="0">B19/$B$17</f>
        <v>0.93109999999999993</v>
      </c>
      <c r="D19" s="22">
        <f>SUM(D17:D18)</f>
        <v>46555.000093109993</v>
      </c>
      <c r="E19" s="23">
        <f t="shared" ref="E19:E25" si="1">D19/$D$17</f>
        <v>1</v>
      </c>
      <c r="H19" s="27" t="s">
        <v>42</v>
      </c>
      <c r="I19" s="13">
        <f>-(I18*B8*B10)</f>
        <v>-361.37500000000006</v>
      </c>
      <c r="J19" s="13">
        <f>-J18*B11</f>
        <v>-2.4150000000000006E-6</v>
      </c>
      <c r="K19" s="13">
        <f>-K18*E4*B8*B10</f>
        <v>-3541.4750000000004</v>
      </c>
    </row>
    <row r="20" spans="1:11" ht="17.100000000000001" customHeight="1">
      <c r="A20" s="21" t="s">
        <v>63</v>
      </c>
      <c r="B20" s="24">
        <f>-E3*B4-B5*E4</f>
        <v>-35000.000010000003</v>
      </c>
      <c r="C20" s="25">
        <f t="shared" si="0"/>
        <v>-0.69999999880000008</v>
      </c>
      <c r="D20" s="24">
        <f>-J20-K20</f>
        <v>-31458.525007585002</v>
      </c>
      <c r="E20" s="25">
        <f t="shared" si="1"/>
        <v>-0.67572816979202999</v>
      </c>
      <c r="F20" s="7" t="s">
        <v>20</v>
      </c>
      <c r="H20" s="28" t="s">
        <v>43</v>
      </c>
      <c r="I20" s="29">
        <f>SUM(I18:I19)</f>
        <v>2138.625</v>
      </c>
      <c r="J20" s="29">
        <f>SUM(J18:J19)</f>
        <v>7.5850000000000002E-6</v>
      </c>
      <c r="K20" s="29">
        <f>SUM(K18:K19)</f>
        <v>31458.525000000001</v>
      </c>
    </row>
    <row r="21" spans="1:11" ht="21.95" customHeight="1">
      <c r="A21" s="5" t="s">
        <v>7</v>
      </c>
      <c r="B21" s="22">
        <f>SUM(B19:B20)</f>
        <v>11555.00008310999</v>
      </c>
      <c r="C21" s="23">
        <f t="shared" si="0"/>
        <v>0.23110000119999979</v>
      </c>
      <c r="D21" s="22">
        <f>SUM(D19:D20)</f>
        <v>15096.475085524991</v>
      </c>
      <c r="E21" s="23">
        <f t="shared" si="1"/>
        <v>0.32427183020797001</v>
      </c>
      <c r="H21" s="27" t="s">
        <v>51</v>
      </c>
      <c r="I21" s="30">
        <f>+I20*B8*C12</f>
        <v>419.1705</v>
      </c>
      <c r="J21" s="13">
        <f>J20*C12</f>
        <v>2.1238000000000003E-6</v>
      </c>
      <c r="K21" s="13">
        <f>K20*C12*B8</f>
        <v>6165.8708999999999</v>
      </c>
    </row>
    <row r="22" spans="1:11" ht="15" customHeight="1">
      <c r="A22" s="21" t="s">
        <v>35</v>
      </c>
      <c r="B22" s="24">
        <f>-E5*B3-(E9*B3)</f>
        <v>-5540.0000060799994</v>
      </c>
      <c r="C22" s="25">
        <f t="shared" si="0"/>
        <v>-0.11079999989999999</v>
      </c>
      <c r="D22" s="24">
        <f>-I20-(E9*B3)</f>
        <v>-5178.6250060799994</v>
      </c>
      <c r="E22" s="25">
        <f t="shared" si="1"/>
        <v>-0.11123670917673183</v>
      </c>
      <c r="H22" s="28" t="s">
        <v>44</v>
      </c>
      <c r="I22" s="31">
        <f>I20+I21</f>
        <v>2557.7955000000002</v>
      </c>
      <c r="J22" s="31">
        <f>J20+J21</f>
        <v>9.708800000000001E-6</v>
      </c>
      <c r="K22" s="31">
        <f>K20+K21</f>
        <v>37624.395900000003</v>
      </c>
    </row>
    <row r="23" spans="1:11" ht="21.95" customHeight="1">
      <c r="A23" s="5" t="s">
        <v>9</v>
      </c>
      <c r="B23" s="22">
        <f>SUM(B21:B22)</f>
        <v>6015.0000770299903</v>
      </c>
      <c r="C23" s="23">
        <f t="shared" si="0"/>
        <v>0.12030000129999981</v>
      </c>
      <c r="D23" s="22">
        <f>SUM(D21:D22)</f>
        <v>9917.8500794449919</v>
      </c>
      <c r="E23" s="23">
        <f t="shared" si="1"/>
        <v>0.21303512103123817</v>
      </c>
      <c r="H23" s="14"/>
      <c r="I23" s="10"/>
      <c r="J23" s="10"/>
      <c r="K23" s="10"/>
    </row>
    <row r="24" spans="1:11" ht="15" customHeight="1">
      <c r="A24" s="21" t="s">
        <v>10</v>
      </c>
      <c r="B24" s="24">
        <f>-B3*E7-B3*E8</f>
        <v>-525.00000105000004</v>
      </c>
      <c r="C24" s="25">
        <f t="shared" si="0"/>
        <v>-1.0500000000000001E-2</v>
      </c>
      <c r="D24" s="24">
        <f>-B3*E7-B3*E8</f>
        <v>-525.00000105000004</v>
      </c>
      <c r="E24" s="25">
        <f t="shared" si="1"/>
        <v>-1.1276984212222105E-2</v>
      </c>
      <c r="H24" s="14"/>
      <c r="I24" s="10"/>
      <c r="J24" s="10"/>
      <c r="K24" s="10"/>
    </row>
    <row r="25" spans="1:11" ht="20.100000000000001" customHeight="1">
      <c r="A25" s="5" t="s">
        <v>11</v>
      </c>
      <c r="B25" s="22">
        <f>SUM(B23:B24)</f>
        <v>5490.0000759799905</v>
      </c>
      <c r="C25" s="23">
        <f t="shared" si="0"/>
        <v>0.10980000129999981</v>
      </c>
      <c r="D25" s="22">
        <f>SUM(D23:D24)</f>
        <v>9392.8500783949912</v>
      </c>
      <c r="E25" s="23">
        <f t="shared" si="1"/>
        <v>0.20175813681901605</v>
      </c>
      <c r="H25" s="10"/>
      <c r="I25" s="10"/>
      <c r="J25" s="10"/>
      <c r="K25" s="10"/>
    </row>
    <row r="26" spans="1:11" ht="6.95" customHeight="1">
      <c r="G26" s="10"/>
      <c r="H26" s="10"/>
      <c r="I26" s="10"/>
      <c r="J26" s="10"/>
      <c r="K26" s="10"/>
    </row>
    <row r="27" spans="1:11" ht="15" customHeight="1">
      <c r="A27" s="89" t="str">
        <f>"**Obs: O valor do CMV é reduzido, pois os produtos do fornecedor também irão retirar os impostos sobre o consumo dos seus preços. Desse modo o resultado líquido do exerício foi de R$ " &amp; TEXT(D25-B25, "#.##0,00") &amp; " maior do que antes da reforma, ou seja " &amp; TEXT(((D25-B25)/D25)*100, "0,00") &amp; "% a mais de lucros com a modificação dos impostos"</f>
        <v>**Obs: O valor do CMV é reduzido, pois os produtos do fornecedor também irão retirar os impostos sobre o consumo dos seus preços. Desse modo o resultado líquido do exerício foi de R$ 3.902,85 maior do que antes da reforma, ou seja 41,55% a mais de lucros com a modificação dos impostos</v>
      </c>
      <c r="B27" s="89"/>
      <c r="C27" s="89"/>
      <c r="D27" s="89"/>
      <c r="E27" s="89"/>
      <c r="G27" s="10"/>
      <c r="H27" s="10"/>
      <c r="I27" s="10"/>
      <c r="J27" s="10"/>
      <c r="K27" s="10"/>
    </row>
    <row r="28" spans="1:11">
      <c r="A28" s="89"/>
      <c r="B28" s="89"/>
      <c r="C28" s="89"/>
      <c r="D28" s="89"/>
      <c r="E28" s="89"/>
      <c r="G28" s="10"/>
      <c r="H28" s="10"/>
      <c r="I28" s="10"/>
      <c r="J28" s="10"/>
      <c r="K28" s="10"/>
    </row>
    <row r="29" spans="1:11" ht="9" customHeight="1">
      <c r="A29" s="89"/>
      <c r="B29" s="89"/>
      <c r="C29" s="89"/>
      <c r="D29" s="89"/>
      <c r="E29" s="89"/>
      <c r="G29" s="10"/>
      <c r="H29" s="10"/>
      <c r="I29" s="10"/>
      <c r="J29" s="10"/>
      <c r="K29" s="10"/>
    </row>
    <row r="30" spans="1:1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>
      <c r="A31" s="26" t="s">
        <v>47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>
      <c r="A32" s="82" t="s">
        <v>48</v>
      </c>
      <c r="B32" s="83"/>
      <c r="C32" s="83"/>
      <c r="D32" s="83"/>
      <c r="E32" s="83"/>
      <c r="F32" s="10"/>
      <c r="G32" s="10"/>
      <c r="H32" s="10"/>
      <c r="I32" s="10"/>
      <c r="J32" s="10"/>
      <c r="K32" s="10"/>
    </row>
    <row r="33" spans="1:11" ht="36" customHeight="1">
      <c r="A33" s="83"/>
      <c r="B33" s="83"/>
      <c r="C33" s="83"/>
      <c r="D33" s="83"/>
      <c r="E33" s="83"/>
      <c r="F33" s="10"/>
      <c r="G33" s="10"/>
      <c r="H33" s="10"/>
      <c r="I33" s="10"/>
      <c r="J33" s="10"/>
      <c r="K33" s="10"/>
    </row>
    <row r="34" spans="1:11">
      <c r="A34" s="82" t="s">
        <v>49</v>
      </c>
      <c r="B34" s="83"/>
      <c r="C34" s="83"/>
      <c r="D34" s="83"/>
      <c r="E34" s="83"/>
      <c r="F34" s="10"/>
      <c r="G34" s="10"/>
      <c r="H34" s="10"/>
      <c r="I34" s="10"/>
      <c r="J34" s="10"/>
      <c r="K34" s="10"/>
    </row>
    <row r="35" spans="1:11" ht="57" customHeight="1">
      <c r="A35" s="83"/>
      <c r="B35" s="83"/>
      <c r="C35" s="83"/>
      <c r="D35" s="83"/>
      <c r="E35" s="83"/>
      <c r="F35" s="10"/>
      <c r="G35" s="10"/>
      <c r="H35" s="10"/>
      <c r="I35" s="10"/>
      <c r="J35" s="10"/>
      <c r="K35" s="10"/>
    </row>
    <row r="36" spans="1:11">
      <c r="A36" s="82" t="s">
        <v>50</v>
      </c>
      <c r="B36" s="83"/>
      <c r="C36" s="83"/>
      <c r="D36" s="83"/>
      <c r="E36" s="83"/>
      <c r="F36" s="10"/>
      <c r="G36" s="10"/>
      <c r="H36" s="10"/>
      <c r="I36" s="10"/>
      <c r="J36" s="10"/>
      <c r="K36" s="10"/>
    </row>
    <row r="37" spans="1:11" ht="56.1" customHeight="1">
      <c r="A37" s="83"/>
      <c r="B37" s="83"/>
      <c r="C37" s="83"/>
      <c r="D37" s="83"/>
      <c r="E37" s="83"/>
      <c r="F37" s="10"/>
      <c r="G37" s="10"/>
      <c r="H37" s="10"/>
      <c r="I37" s="10"/>
      <c r="J37" s="10"/>
      <c r="K37" s="10"/>
    </row>
    <row r="38" spans="1:11">
      <c r="A38" s="84" t="s">
        <v>52</v>
      </c>
      <c r="B38" s="85"/>
      <c r="C38" s="85"/>
      <c r="D38" s="85"/>
      <c r="E38" s="85"/>
      <c r="F38" s="10"/>
      <c r="G38" s="10"/>
    </row>
    <row r="39" spans="1:11">
      <c r="A39" s="85"/>
      <c r="B39" s="85"/>
      <c r="C39" s="85"/>
      <c r="D39" s="85"/>
      <c r="E39" s="85"/>
      <c r="F39" s="10"/>
      <c r="G39" s="10"/>
    </row>
    <row r="40" spans="1:11">
      <c r="A40" s="10" t="s">
        <v>53</v>
      </c>
      <c r="B40" s="10"/>
      <c r="C40" s="10"/>
      <c r="D40" s="10"/>
      <c r="E40" s="10"/>
      <c r="F40" s="10"/>
      <c r="G40" s="10"/>
    </row>
    <row r="41" spans="1:11">
      <c r="A41" s="10" t="s">
        <v>54</v>
      </c>
      <c r="B41" s="10"/>
      <c r="C41" s="10"/>
      <c r="D41" s="10"/>
      <c r="E41" s="10"/>
      <c r="F41" s="10"/>
      <c r="G41" s="10"/>
    </row>
    <row r="42" spans="1:11">
      <c r="A42" s="82" t="s">
        <v>55</v>
      </c>
      <c r="B42" s="83"/>
      <c r="C42" s="83"/>
      <c r="D42" s="83"/>
      <c r="E42" s="83"/>
      <c r="F42" s="10"/>
      <c r="G42" s="10"/>
    </row>
    <row r="43" spans="1:11">
      <c r="A43" s="83"/>
      <c r="B43" s="83"/>
      <c r="C43" s="83"/>
      <c r="D43" s="83"/>
      <c r="E43" s="83"/>
      <c r="F43" s="10"/>
      <c r="G43" s="10"/>
    </row>
    <row r="44" spans="1:11">
      <c r="A44" s="10"/>
      <c r="B44" s="10"/>
      <c r="C44" s="10"/>
      <c r="D44" s="10"/>
      <c r="E44" s="10"/>
      <c r="F44" s="10"/>
      <c r="G44" s="10"/>
    </row>
    <row r="45" spans="1:11">
      <c r="A45" s="10"/>
      <c r="B45" s="10"/>
      <c r="C45" s="10"/>
      <c r="D45" s="10"/>
      <c r="E45" s="10"/>
      <c r="F45" s="10"/>
      <c r="G45" s="10"/>
    </row>
    <row r="46" spans="1:11">
      <c r="A46" s="10"/>
      <c r="B46" s="10"/>
      <c r="C46" s="10"/>
      <c r="D46" s="10"/>
      <c r="E46" s="10"/>
      <c r="F46" s="10"/>
      <c r="G46" s="10"/>
    </row>
    <row r="47" spans="1:11">
      <c r="A47" s="10"/>
      <c r="B47" s="10"/>
      <c r="C47" s="10"/>
      <c r="D47" s="10"/>
      <c r="E47" s="10"/>
      <c r="F47" s="10"/>
      <c r="G47" s="10"/>
    </row>
    <row r="48" spans="1:11">
      <c r="A48" s="10"/>
      <c r="B48" s="10"/>
      <c r="C48" s="10"/>
      <c r="D48" s="10"/>
      <c r="E48" s="10"/>
      <c r="F48" s="10"/>
      <c r="G48" s="10"/>
    </row>
    <row r="49" spans="1:7">
      <c r="A49" s="10"/>
      <c r="B49" s="10"/>
      <c r="C49" s="10"/>
      <c r="D49" s="10"/>
      <c r="E49" s="10"/>
      <c r="F49" s="10"/>
      <c r="G49" s="10"/>
    </row>
    <row r="50" spans="1:7">
      <c r="A50" s="10"/>
      <c r="B50" s="10"/>
      <c r="C50" s="10"/>
      <c r="D50" s="10"/>
      <c r="E50" s="10"/>
      <c r="F50" s="10"/>
      <c r="G50" s="10"/>
    </row>
    <row r="51" spans="1:7">
      <c r="A51" s="10"/>
      <c r="B51" s="10"/>
      <c r="C51" s="10"/>
      <c r="D51" s="10"/>
      <c r="E51" s="10"/>
      <c r="F51" s="10"/>
      <c r="G51" s="10"/>
    </row>
  </sheetData>
  <mergeCells count="10">
    <mergeCell ref="A38:E39"/>
    <mergeCell ref="A42:E43"/>
    <mergeCell ref="A1:E1"/>
    <mergeCell ref="A2:E2"/>
    <mergeCell ref="A14:E14"/>
    <mergeCell ref="G16:J16"/>
    <mergeCell ref="A27:E29"/>
    <mergeCell ref="A32:E33"/>
    <mergeCell ref="A34:E35"/>
    <mergeCell ref="A36:E37"/>
  </mergeCells>
  <hyperlinks>
    <hyperlink ref="A2" r:id="rId1" xr:uid="{BC1880D9-FF60-3247-A52C-0396A14D78E1}"/>
    <hyperlink ref="E6" r:id="rId2" xr:uid="{0B5F83C3-F21A-2846-99EB-BBA8C180D637}"/>
  </hyperlinks>
  <pageMargins left="0.7" right="0.7" top="0.75" bottom="0.75" header="0.3" footer="0.3"/>
  <pageSetup paperSize="9" scale="81" orientation="portrait" horizontalDpi="0" verticalDpi="0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3660-1F46-F649-A350-B1C179ED65A5}">
  <dimension ref="A1:K78"/>
  <sheetViews>
    <sheetView showGridLines="0" zoomScale="191" zoomScaleNormal="193" workbookViewId="0">
      <pane ySplit="1" topLeftCell="A2" activePane="bottomLeft" state="frozen"/>
      <selection pane="bottomLeft" activeCell="E23" sqref="E23"/>
    </sheetView>
  </sheetViews>
  <sheetFormatPr defaultColWidth="8.85546875" defaultRowHeight="15"/>
  <cols>
    <col min="1" max="1" width="37.28515625" customWidth="1"/>
    <col min="2" max="2" width="14" bestFit="1" customWidth="1"/>
    <col min="4" max="4" width="15.7109375" bestFit="1" customWidth="1"/>
    <col min="6" max="6" width="6.28515625" customWidth="1"/>
    <col min="7" max="7" width="10.42578125" bestFit="1" customWidth="1"/>
    <col min="8" max="8" width="12.42578125" customWidth="1"/>
    <col min="9" max="9" width="13.140625" bestFit="1" customWidth="1"/>
    <col min="10" max="10" width="11.85546875" bestFit="1" customWidth="1"/>
    <col min="11" max="11" width="12.7109375" bestFit="1" customWidth="1"/>
  </cols>
  <sheetData>
    <row r="1" spans="1:11" ht="18.75">
      <c r="A1" s="87" t="s">
        <v>75</v>
      </c>
      <c r="B1" s="87"/>
      <c r="C1" s="87"/>
      <c r="D1" s="87"/>
      <c r="E1" s="87"/>
    </row>
    <row r="2" spans="1:11">
      <c r="A2" s="90" t="s">
        <v>16</v>
      </c>
      <c r="B2" s="91"/>
      <c r="C2" s="91"/>
      <c r="D2" s="91"/>
      <c r="E2" s="91"/>
      <c r="H2" s="10"/>
      <c r="I2" s="10"/>
      <c r="J2" s="10"/>
      <c r="K2" s="10"/>
    </row>
    <row r="3" spans="1:11" ht="15.75">
      <c r="A3" s="4" t="s">
        <v>22</v>
      </c>
      <c r="B3" s="16">
        <f>SUM(B4+B5)</f>
        <v>50000.000099999997</v>
      </c>
      <c r="D3" s="4" t="s">
        <v>2</v>
      </c>
      <c r="E3" s="47">
        <f>'SIMPLES NACIONAL (IBS-CBS)'!E3</f>
        <v>0.1</v>
      </c>
      <c r="H3" s="10"/>
      <c r="I3" s="10"/>
      <c r="J3" s="10"/>
      <c r="K3" s="10"/>
    </row>
    <row r="4" spans="1:11" ht="15.75">
      <c r="A4" s="4" t="s">
        <v>23</v>
      </c>
      <c r="B4" s="46">
        <f>'SIMPLES NACIONAL (IBS-CBS)'!B4</f>
        <v>1E-4</v>
      </c>
      <c r="D4" s="33" t="s">
        <v>66</v>
      </c>
      <c r="E4" s="47">
        <f>'SIMPLES NACIONAL (IBS-CBS)'!E4</f>
        <v>0.7</v>
      </c>
      <c r="H4" s="10"/>
      <c r="I4" s="10"/>
      <c r="J4" s="10"/>
      <c r="K4" s="10"/>
    </row>
    <row r="5" spans="1:11" ht="15.75">
      <c r="A5" s="4" t="s">
        <v>24</v>
      </c>
      <c r="B5" s="46">
        <f>'SIMPLES NACIONAL (IBS-CBS)'!B5</f>
        <v>50000</v>
      </c>
      <c r="D5" s="4" t="s">
        <v>3</v>
      </c>
      <c r="E5" s="47">
        <f>'SIMPLES NACIONAL (IBS-CBS)'!E5</f>
        <v>4.9999999900000001E-2</v>
      </c>
      <c r="H5" s="10"/>
      <c r="I5" s="10"/>
      <c r="J5" s="10"/>
      <c r="K5" s="10"/>
    </row>
    <row r="6" spans="1:11" ht="15.75">
      <c r="A6" s="4" t="s">
        <v>1</v>
      </c>
      <c r="B6" s="8">
        <f>B3-B3*B7</f>
        <v>46556.000093112001</v>
      </c>
      <c r="D6" s="19" t="s">
        <v>38</v>
      </c>
      <c r="E6" s="18" t="s">
        <v>39</v>
      </c>
      <c r="H6" s="10"/>
      <c r="I6" s="10"/>
      <c r="J6" s="10"/>
      <c r="K6" s="10"/>
    </row>
    <row r="7" spans="1:11" ht="15.75">
      <c r="A7" s="15" t="s">
        <v>72</v>
      </c>
      <c r="B7" s="12">
        <f>14.02%-E7-E8-E9</f>
        <v>6.8879999999999997E-2</v>
      </c>
      <c r="D7" s="17" t="s">
        <v>32</v>
      </c>
      <c r="E7" s="12">
        <v>5.6100000000000004E-3</v>
      </c>
      <c r="H7" s="10"/>
      <c r="I7" s="10"/>
      <c r="J7" s="10"/>
      <c r="K7" s="10"/>
    </row>
    <row r="8" spans="1:11" ht="15.75">
      <c r="A8" s="3" t="s">
        <v>25</v>
      </c>
      <c r="B8" s="47">
        <f>'SIMPLES NACIONAL (IBS-CBS)'!B8</f>
        <v>0.7</v>
      </c>
      <c r="D8" s="17" t="s">
        <v>33</v>
      </c>
      <c r="E8" s="12">
        <v>4.9100000000000003E-3</v>
      </c>
      <c r="H8" s="10"/>
      <c r="I8" s="10"/>
      <c r="J8" s="10"/>
      <c r="K8" s="10"/>
    </row>
    <row r="9" spans="1:11" ht="15.75">
      <c r="A9" s="15" t="s">
        <v>40</v>
      </c>
      <c r="B9" s="48">
        <f>'SIMPLES NACIONAL (IBS-CBS)'!B10</f>
        <v>0.20650000000000002</v>
      </c>
      <c r="D9" s="17" t="s">
        <v>34</v>
      </c>
      <c r="E9" s="12">
        <v>6.08E-2</v>
      </c>
      <c r="H9" s="10"/>
      <c r="I9" s="10"/>
      <c r="J9" s="10"/>
      <c r="K9" s="10"/>
    </row>
    <row r="10" spans="1:11" ht="15.75">
      <c r="A10" s="15" t="s">
        <v>77</v>
      </c>
      <c r="B10" s="48">
        <f>'SIMPLES NACIONAL (IBS-CBS)'!B11</f>
        <v>0.24150000000000002</v>
      </c>
      <c r="G10" s="10">
        <f>14.3*(15.33%+0.17%)</f>
        <v>2.2164999999999999</v>
      </c>
      <c r="H10" s="10"/>
      <c r="I10" s="10"/>
      <c r="J10" s="10"/>
      <c r="K10" s="10"/>
    </row>
    <row r="11" spans="1:11" ht="15.75">
      <c r="A11" s="35"/>
      <c r="B11" s="20" t="s">
        <v>5</v>
      </c>
      <c r="C11" s="48">
        <v>0.26500000000000001</v>
      </c>
      <c r="D11" s="20" t="s">
        <v>79</v>
      </c>
      <c r="E11" s="38">
        <f>+(21.76%+0.24)*14.3%</f>
        <v>6.5436800000000003E-2</v>
      </c>
      <c r="F11" s="39" t="s">
        <v>80</v>
      </c>
      <c r="H11" s="10"/>
      <c r="I11" s="10"/>
      <c r="J11" s="10"/>
      <c r="K11" s="10"/>
    </row>
    <row r="12" spans="1:11" ht="18.75">
      <c r="A12" s="92" t="s">
        <v>74</v>
      </c>
      <c r="B12" s="92"/>
      <c r="C12" s="92"/>
      <c r="D12" s="92"/>
      <c r="E12" s="92"/>
      <c r="G12" s="10"/>
      <c r="H12" s="10"/>
      <c r="I12" s="10"/>
      <c r="J12" s="10"/>
      <c r="K12" s="10"/>
    </row>
    <row r="13" spans="1:11" ht="18.75">
      <c r="A13" s="93" t="s">
        <v>70</v>
      </c>
      <c r="B13" s="93"/>
      <c r="C13" s="93"/>
      <c r="D13" s="93"/>
      <c r="E13" s="93"/>
      <c r="G13" s="10"/>
      <c r="H13" s="10"/>
      <c r="I13" s="10"/>
      <c r="J13" s="10"/>
      <c r="K13" s="10"/>
    </row>
    <row r="14" spans="1:11" ht="15.75">
      <c r="A14" s="2" t="s">
        <v>0</v>
      </c>
      <c r="B14" s="2" t="s">
        <v>13</v>
      </c>
      <c r="C14" s="2" t="s">
        <v>12</v>
      </c>
      <c r="D14" s="2" t="s">
        <v>14</v>
      </c>
      <c r="E14" s="2" t="s">
        <v>12</v>
      </c>
      <c r="G14" s="86" t="s">
        <v>56</v>
      </c>
      <c r="H14" s="86"/>
      <c r="I14" s="86"/>
      <c r="J14" s="86"/>
      <c r="K14" s="10"/>
    </row>
    <row r="15" spans="1:11" ht="21.95" customHeight="1">
      <c r="A15" s="6" t="s">
        <v>15</v>
      </c>
      <c r="B15" s="22">
        <f>+B3</f>
        <v>50000.000099999997</v>
      </c>
      <c r="C15" s="23">
        <f>B15/$B$15</f>
        <v>1</v>
      </c>
      <c r="D15" s="22">
        <f>+B15</f>
        <v>50000.000099999997</v>
      </c>
      <c r="E15" s="23">
        <f>D15/$D$15</f>
        <v>1</v>
      </c>
      <c r="I15" s="32" t="s">
        <v>45</v>
      </c>
      <c r="J15" s="32" t="s">
        <v>46</v>
      </c>
      <c r="K15" s="32" t="s">
        <v>57</v>
      </c>
    </row>
    <row r="16" spans="1:11" ht="18.95" customHeight="1">
      <c r="A16" s="21" t="s">
        <v>71</v>
      </c>
      <c r="B16" s="24">
        <f>-B3*B7</f>
        <v>-3444.0000068879995</v>
      </c>
      <c r="C16" s="25">
        <f>B16/$B$15</f>
        <v>-6.8879999999999997E-2</v>
      </c>
      <c r="D16" s="24">
        <f>-D15*E11</f>
        <v>-3271.8400065436799</v>
      </c>
      <c r="E16" s="25">
        <f>D16/$D$15</f>
        <v>-6.5436800000000003E-2</v>
      </c>
      <c r="H16" s="15" t="s">
        <v>41</v>
      </c>
      <c r="I16" s="13">
        <f>(SUM(B4:B5)*E5)</f>
        <v>2500</v>
      </c>
      <c r="J16" s="13">
        <f>(SUM(B4)*E3)</f>
        <v>1.0000000000000001E-5</v>
      </c>
      <c r="K16" s="13">
        <f>+(B5*E4)</f>
        <v>35000</v>
      </c>
    </row>
    <row r="17" spans="1:11" ht="21.95" customHeight="1">
      <c r="A17" s="5" t="s">
        <v>6</v>
      </c>
      <c r="B17" s="22">
        <f>SUM(B15:B16)</f>
        <v>46556.000093112001</v>
      </c>
      <c r="C17" s="23">
        <f t="shared" ref="C17:C23" si="0">B17/$B$15</f>
        <v>0.93112000000000006</v>
      </c>
      <c r="D17" s="22">
        <f>SUM(D15:D16)</f>
        <v>46728.160093456318</v>
      </c>
      <c r="E17" s="23">
        <f t="shared" ref="E17:E23" si="1">D17/$D$15</f>
        <v>0.93456320000000004</v>
      </c>
      <c r="H17" s="27" t="s">
        <v>42</v>
      </c>
      <c r="I17" s="13">
        <f>-(I16*B9*B8)</f>
        <v>-361.375</v>
      </c>
      <c r="J17" s="13">
        <f>-J16*B10</f>
        <v>-2.4150000000000006E-6</v>
      </c>
      <c r="K17" s="13">
        <f>-K16*E4*B8*B9</f>
        <v>-3541.4750000000004</v>
      </c>
    </row>
    <row r="18" spans="1:11" ht="17.100000000000001" customHeight="1">
      <c r="A18" s="21" t="s">
        <v>78</v>
      </c>
      <c r="B18" s="24">
        <f>-E3*B4-B5*E4</f>
        <v>-35000.000010000003</v>
      </c>
      <c r="C18" s="25">
        <f t="shared" si="0"/>
        <v>-0.69999999880000008</v>
      </c>
      <c r="D18" s="24">
        <f>-J20-K20</f>
        <v>-39795.034134595029</v>
      </c>
      <c r="E18" s="25">
        <f t="shared" si="1"/>
        <v>-0.79590068110009926</v>
      </c>
      <c r="F18" s="7" t="s">
        <v>20</v>
      </c>
      <c r="H18" s="28" t="s">
        <v>43</v>
      </c>
      <c r="I18" s="29">
        <f>SUM(I16:I17)</f>
        <v>2138.625</v>
      </c>
      <c r="J18" s="29">
        <f>SUM(J16:J17)</f>
        <v>7.5850000000000002E-6</v>
      </c>
      <c r="K18" s="29">
        <f>SUM(K16:K17)</f>
        <v>31458.525000000001</v>
      </c>
    </row>
    <row r="19" spans="1:11" ht="21.95" customHeight="1">
      <c r="A19" s="5" t="s">
        <v>7</v>
      </c>
      <c r="B19" s="22">
        <f>SUM(B17:B18)</f>
        <v>11556.000083111998</v>
      </c>
      <c r="C19" s="23">
        <f t="shared" si="0"/>
        <v>0.23112000119999995</v>
      </c>
      <c r="D19" s="22">
        <f>SUM(D17:D18)</f>
        <v>6933.1259588612884</v>
      </c>
      <c r="E19" s="23">
        <f t="shared" si="1"/>
        <v>0.13866251889990075</v>
      </c>
      <c r="H19" s="27" t="s">
        <v>51</v>
      </c>
      <c r="I19" s="30">
        <f>+I18*C11</f>
        <v>566.73562500000003</v>
      </c>
      <c r="J19" s="13">
        <f>J18*C11</f>
        <v>2.0100250000000003E-6</v>
      </c>
      <c r="K19" s="13">
        <f>K18*C11</f>
        <v>8336.5091250000005</v>
      </c>
    </row>
    <row r="20" spans="1:11" ht="15" customHeight="1">
      <c r="A20" s="21" t="s">
        <v>35</v>
      </c>
      <c r="B20" s="24">
        <f>-E5*B3-(E9*B3)</f>
        <v>-5540.0000060799994</v>
      </c>
      <c r="C20" s="25">
        <f t="shared" si="0"/>
        <v>-0.11079999989999999</v>
      </c>
      <c r="D20" s="24">
        <f>-I20-(E9*B3)</f>
        <v>-5745.3606310800005</v>
      </c>
      <c r="E20" s="25">
        <f t="shared" si="1"/>
        <v>-0.11490721239178558</v>
      </c>
      <c r="H20" s="28" t="s">
        <v>44</v>
      </c>
      <c r="I20" s="31">
        <f>I18+I19</f>
        <v>2705.3606250000003</v>
      </c>
      <c r="J20" s="31">
        <f>J18+J19</f>
        <v>9.5950250000000005E-6</v>
      </c>
      <c r="K20" s="31">
        <f>K18+K19</f>
        <v>39795.034125000006</v>
      </c>
    </row>
    <row r="21" spans="1:11" ht="21.95" customHeight="1">
      <c r="A21" s="5" t="s">
        <v>9</v>
      </c>
      <c r="B21" s="22">
        <f>SUM(B19:B20)</f>
        <v>6016.0000770319984</v>
      </c>
      <c r="C21" s="23">
        <f t="shared" si="0"/>
        <v>0.12032000129999998</v>
      </c>
      <c r="D21" s="22">
        <f>SUM(D19:D20)</f>
        <v>1187.7653277812879</v>
      </c>
      <c r="E21" s="23">
        <f t="shared" si="1"/>
        <v>2.3755306508115144E-2</v>
      </c>
      <c r="H21" s="14"/>
      <c r="I21" s="10"/>
      <c r="J21" s="10"/>
      <c r="K21" s="10"/>
    </row>
    <row r="22" spans="1:11" ht="15" customHeight="1">
      <c r="A22" s="21" t="s">
        <v>10</v>
      </c>
      <c r="B22" s="24">
        <f>-B3*E7-B3*E8</f>
        <v>-526.00000105200002</v>
      </c>
      <c r="C22" s="25">
        <f t="shared" si="0"/>
        <v>-1.0520000000000002E-2</v>
      </c>
      <c r="D22" s="24">
        <f>-B3*E7-B3*E8</f>
        <v>-526.00000105200002</v>
      </c>
      <c r="E22" s="25">
        <f t="shared" si="1"/>
        <v>-1.0520000000000002E-2</v>
      </c>
      <c r="G22" s="40" t="s">
        <v>81</v>
      </c>
      <c r="H22" s="41"/>
      <c r="I22" s="42"/>
      <c r="J22" s="42"/>
      <c r="K22" s="10"/>
    </row>
    <row r="23" spans="1:11" ht="20.100000000000001" customHeight="1">
      <c r="A23" s="5" t="s">
        <v>11</v>
      </c>
      <c r="B23" s="22">
        <f>SUM(B21:B22)</f>
        <v>5490.0000759799987</v>
      </c>
      <c r="C23" s="23">
        <f t="shared" si="0"/>
        <v>0.10980000129999998</v>
      </c>
      <c r="D23" s="22">
        <f>SUM(D21:D22)</f>
        <v>661.76532672928784</v>
      </c>
      <c r="E23" s="23">
        <f t="shared" si="1"/>
        <v>1.3235306508115144E-2</v>
      </c>
      <c r="G23" s="40" t="s">
        <v>82</v>
      </c>
      <c r="H23" s="42"/>
      <c r="I23" s="42"/>
      <c r="J23" s="42"/>
      <c r="K23" s="10"/>
    </row>
    <row r="24" spans="1:11" ht="6.95" customHeight="1">
      <c r="G24" s="42"/>
      <c r="H24" s="42"/>
      <c r="I24" s="42"/>
      <c r="J24" s="42"/>
      <c r="K24" s="10"/>
    </row>
    <row r="25" spans="1:11" ht="15" customHeight="1">
      <c r="A25" s="89" t="str">
        <f>"**Obs: O valor do CMV é reduzido, pois os produtos do fornecedor também irão retirar os impostos sobre o consumo dos seus preços. Desse modo o resultado líquido do exerício foi de R$ " &amp; TEXT(D23-B23, "#.##0,00") &amp; " do que antes da reforma, ou seja " &amp; TEXT(((D23-B23)/D23)*-100, "0,00") &amp; "% de diferença no resultado com a modificação dos impostos"</f>
        <v>**Obs: O valor do CMV é reduzido, pois os produtos do fornecedor também irão retirar os impostos sobre o consumo dos seus preços. Desse modo o resultado líquido do exerício foi de R$ -4.828,23 do que antes da reforma, ou seja 729,60% de diferença no resultado com a modificação dos impostos</v>
      </c>
      <c r="B25" s="89"/>
      <c r="C25" s="89"/>
      <c r="D25" s="89"/>
      <c r="E25" s="89"/>
      <c r="G25" s="42" t="s">
        <v>83</v>
      </c>
      <c r="H25" s="42"/>
      <c r="I25" s="42"/>
      <c r="J25" s="42"/>
      <c r="K25" s="10"/>
    </row>
    <row r="26" spans="1:11">
      <c r="A26" s="89"/>
      <c r="B26" s="89"/>
      <c r="C26" s="89"/>
      <c r="D26" s="89"/>
      <c r="E26" s="89"/>
      <c r="G26" s="42" t="s">
        <v>84</v>
      </c>
      <c r="H26" s="42"/>
      <c r="I26" s="42"/>
      <c r="J26" s="42"/>
      <c r="K26" s="10"/>
    </row>
    <row r="27" spans="1:11" ht="9" customHeight="1">
      <c r="A27" s="89"/>
      <c r="B27" s="89"/>
      <c r="C27" s="89"/>
      <c r="D27" s="89"/>
      <c r="E27" s="89"/>
      <c r="G27" s="10"/>
      <c r="H27" s="10"/>
      <c r="I27" s="10"/>
      <c r="J27" s="10"/>
      <c r="K27" s="10"/>
    </row>
    <row r="28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>
      <c r="A29" s="26" t="s">
        <v>47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>
      <c r="A30" s="82" t="s">
        <v>48</v>
      </c>
      <c r="B30" s="83"/>
      <c r="C30" s="83"/>
      <c r="D30" s="83"/>
      <c r="E30" s="83"/>
      <c r="F30" s="10"/>
      <c r="G30" s="10" t="s">
        <v>85</v>
      </c>
      <c r="H30" s="10"/>
      <c r="I30" s="10"/>
      <c r="J30" s="10"/>
      <c r="K30" s="10"/>
    </row>
    <row r="31" spans="1:11" ht="44.1" customHeight="1">
      <c r="A31" s="83"/>
      <c r="B31" s="83"/>
      <c r="C31" s="83"/>
      <c r="D31" s="83"/>
      <c r="E31" s="83"/>
      <c r="F31" s="10"/>
      <c r="G31" s="10" t="s">
        <v>86</v>
      </c>
      <c r="H31" s="10"/>
      <c r="I31" s="10"/>
      <c r="J31" s="10"/>
      <c r="K31" s="10"/>
    </row>
    <row r="32" spans="1:11">
      <c r="A32" s="82" t="s">
        <v>49</v>
      </c>
      <c r="B32" s="83"/>
      <c r="C32" s="83"/>
      <c r="D32" s="83"/>
      <c r="E32" s="83"/>
      <c r="F32" s="10"/>
      <c r="H32" s="10"/>
      <c r="I32" s="10"/>
      <c r="J32" s="10"/>
      <c r="K32" s="10"/>
    </row>
    <row r="33" spans="1:11" ht="59.1" customHeight="1">
      <c r="A33" s="83"/>
      <c r="B33" s="83"/>
      <c r="C33" s="83"/>
      <c r="D33" s="83"/>
      <c r="E33" s="83"/>
      <c r="F33" s="10"/>
      <c r="G33" s="10" t="s">
        <v>87</v>
      </c>
      <c r="H33" s="10"/>
      <c r="I33" s="10"/>
      <c r="J33" s="10"/>
      <c r="K33" s="10"/>
    </row>
    <row r="34" spans="1:11">
      <c r="A34" s="82" t="s">
        <v>50</v>
      </c>
      <c r="B34" s="83"/>
      <c r="C34" s="83"/>
      <c r="D34" s="83"/>
      <c r="E34" s="83"/>
      <c r="F34" s="10"/>
      <c r="H34" s="10"/>
      <c r="I34" s="10"/>
      <c r="J34" s="10"/>
      <c r="K34" s="10"/>
    </row>
    <row r="35" spans="1:11" ht="60" customHeight="1">
      <c r="A35" s="83"/>
      <c r="B35" s="83"/>
      <c r="C35" s="83"/>
      <c r="D35" s="83"/>
      <c r="E35" s="83"/>
      <c r="F35" s="10"/>
      <c r="G35" s="10" t="s">
        <v>88</v>
      </c>
      <c r="H35" s="10"/>
      <c r="I35" s="10"/>
      <c r="J35" s="10"/>
      <c r="K35" s="10"/>
    </row>
    <row r="36" spans="1:11">
      <c r="A36" s="84" t="s">
        <v>52</v>
      </c>
      <c r="B36" s="85"/>
      <c r="C36" s="85"/>
      <c r="D36" s="85"/>
      <c r="E36" s="85"/>
      <c r="F36" s="10"/>
      <c r="G36" s="10" t="s">
        <v>89</v>
      </c>
    </row>
    <row r="37" spans="1:11">
      <c r="A37" s="85"/>
      <c r="B37" s="85"/>
      <c r="C37" s="85"/>
      <c r="D37" s="85"/>
      <c r="E37" s="85"/>
      <c r="F37" s="10"/>
    </row>
    <row r="38" spans="1:11">
      <c r="A38" s="10" t="s">
        <v>53</v>
      </c>
      <c r="B38" s="10"/>
      <c r="C38" s="10"/>
      <c r="D38" s="10"/>
      <c r="E38" s="10"/>
      <c r="F38" s="10"/>
      <c r="G38" s="10"/>
    </row>
    <row r="39" spans="1:11">
      <c r="A39" s="10" t="s">
        <v>111</v>
      </c>
      <c r="B39" s="10"/>
      <c r="C39" s="10"/>
      <c r="D39" s="10"/>
      <c r="E39" s="10"/>
      <c r="F39" s="10"/>
      <c r="G39" s="10" t="s">
        <v>90</v>
      </c>
    </row>
    <row r="40" spans="1:11">
      <c r="A40" s="82" t="s">
        <v>55</v>
      </c>
      <c r="B40" s="83"/>
      <c r="C40" s="83"/>
      <c r="D40" s="83"/>
      <c r="E40" s="83"/>
      <c r="F40" s="10"/>
      <c r="G40" s="10" t="s">
        <v>91</v>
      </c>
    </row>
    <row r="41" spans="1:11">
      <c r="A41" s="83"/>
      <c r="B41" s="83"/>
      <c r="C41" s="83"/>
      <c r="D41" s="83"/>
      <c r="E41" s="83"/>
      <c r="F41" s="10"/>
      <c r="G41" s="10" t="s">
        <v>92</v>
      </c>
    </row>
    <row r="42" spans="1:11">
      <c r="A42" s="10"/>
      <c r="B42" s="10"/>
      <c r="C42" s="10"/>
      <c r="D42" s="10"/>
      <c r="E42" s="10"/>
      <c r="F42" s="10"/>
      <c r="G42" s="10" t="s">
        <v>93</v>
      </c>
    </row>
    <row r="43" spans="1:11">
      <c r="A43" s="26" t="s">
        <v>112</v>
      </c>
      <c r="B43" s="10"/>
      <c r="C43" s="10"/>
      <c r="D43" s="10"/>
      <c r="E43" s="10"/>
      <c r="F43" s="10"/>
      <c r="G43" s="10"/>
    </row>
    <row r="44" spans="1:11">
      <c r="A44" s="94" t="s">
        <v>113</v>
      </c>
      <c r="B44" s="95"/>
      <c r="C44" s="95"/>
      <c r="D44" s="95"/>
      <c r="E44" s="95"/>
      <c r="F44" s="10"/>
      <c r="G44" s="10" t="s">
        <v>94</v>
      </c>
    </row>
    <row r="45" spans="1:11">
      <c r="A45" s="95"/>
      <c r="B45" s="95"/>
      <c r="C45" s="95"/>
      <c r="D45" s="95"/>
      <c r="E45" s="95"/>
      <c r="F45" s="10"/>
      <c r="G45" s="10" t="s">
        <v>95</v>
      </c>
    </row>
    <row r="46" spans="1:11">
      <c r="A46" s="95"/>
      <c r="B46" s="95"/>
      <c r="C46" s="95"/>
      <c r="D46" s="95"/>
      <c r="E46" s="95"/>
      <c r="F46" s="10"/>
      <c r="G46" s="10" t="s">
        <v>96</v>
      </c>
    </row>
    <row r="47" spans="1:11">
      <c r="A47" s="95"/>
      <c r="B47" s="95"/>
      <c r="C47" s="95"/>
      <c r="D47" s="95"/>
      <c r="E47" s="95"/>
      <c r="F47" s="10"/>
      <c r="G47" s="10" t="s">
        <v>97</v>
      </c>
    </row>
    <row r="48" spans="1:11">
      <c r="A48" s="10"/>
      <c r="B48" s="10"/>
      <c r="C48" s="10"/>
      <c r="D48" s="10"/>
      <c r="E48" s="10"/>
      <c r="F48" s="10"/>
      <c r="G48" s="10" t="s">
        <v>98</v>
      </c>
    </row>
    <row r="49" spans="1:7">
      <c r="A49" s="10"/>
      <c r="B49" s="10"/>
      <c r="C49" s="10"/>
      <c r="D49" s="10"/>
      <c r="E49" s="10"/>
      <c r="F49" s="10"/>
      <c r="G49" t="s">
        <v>96</v>
      </c>
    </row>
    <row r="50" spans="1:7">
      <c r="G50" t="s">
        <v>99</v>
      </c>
    </row>
    <row r="51" spans="1:7">
      <c r="G51" t="s">
        <v>98</v>
      </c>
    </row>
    <row r="52" spans="1:7">
      <c r="G52" t="s">
        <v>96</v>
      </c>
    </row>
    <row r="53" spans="1:7">
      <c r="G53" t="s">
        <v>100</v>
      </c>
    </row>
    <row r="54" spans="1:7">
      <c r="G54" t="s">
        <v>98</v>
      </c>
    </row>
    <row r="55" spans="1:7">
      <c r="G55" t="s">
        <v>101</v>
      </c>
    </row>
    <row r="59" spans="1:7">
      <c r="G59" t="s">
        <v>102</v>
      </c>
    </row>
    <row r="61" spans="1:7">
      <c r="G61" t="s">
        <v>103</v>
      </c>
    </row>
    <row r="63" spans="1:7">
      <c r="G63" t="s">
        <v>104</v>
      </c>
    </row>
    <row r="64" spans="1:7">
      <c r="G64" t="s">
        <v>105</v>
      </c>
    </row>
    <row r="66" spans="7:7">
      <c r="G66" t="s">
        <v>96</v>
      </c>
    </row>
    <row r="67" spans="7:7">
      <c r="G67" t="s">
        <v>106</v>
      </c>
    </row>
    <row r="68" spans="7:7">
      <c r="G68" t="s">
        <v>98</v>
      </c>
    </row>
    <row r="69" spans="7:7">
      <c r="G69" t="s">
        <v>96</v>
      </c>
    </row>
    <row r="70" spans="7:7">
      <c r="G70" t="s">
        <v>107</v>
      </c>
    </row>
    <row r="71" spans="7:7">
      <c r="G71" t="s">
        <v>98</v>
      </c>
    </row>
    <row r="72" spans="7:7">
      <c r="G72" t="s">
        <v>96</v>
      </c>
    </row>
    <row r="73" spans="7:7">
      <c r="G73" t="s">
        <v>108</v>
      </c>
    </row>
    <row r="74" spans="7:7">
      <c r="G74" t="s">
        <v>98</v>
      </c>
    </row>
    <row r="76" spans="7:7">
      <c r="G76" t="s">
        <v>109</v>
      </c>
    </row>
    <row r="78" spans="7:7">
      <c r="G78" t="s">
        <v>110</v>
      </c>
    </row>
  </sheetData>
  <mergeCells count="12">
    <mergeCell ref="A44:E47"/>
    <mergeCell ref="A30:E31"/>
    <mergeCell ref="A32:E33"/>
    <mergeCell ref="A34:E35"/>
    <mergeCell ref="A36:E37"/>
    <mergeCell ref="A40:E41"/>
    <mergeCell ref="A1:E1"/>
    <mergeCell ref="A2:E2"/>
    <mergeCell ref="A12:E12"/>
    <mergeCell ref="A25:E27"/>
    <mergeCell ref="G14:J14"/>
    <mergeCell ref="A13:E13"/>
  </mergeCells>
  <hyperlinks>
    <hyperlink ref="A2" r:id="rId1" xr:uid="{AE13668C-D5A3-F44F-A58A-10FBB4C47A3C}"/>
    <hyperlink ref="E6" r:id="rId2" xr:uid="{B98FEE0C-1648-F046-B06F-1F717C469E91}"/>
  </hyperlinks>
  <pageMargins left="0.7" right="0.7" top="0.75" bottom="0.75" header="0.3" footer="0.3"/>
  <pageSetup paperSize="9" scale="81" orientation="portrait" horizontalDpi="0" verticalDpi="0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B813-7CA9-114E-A21B-59893EC8CDC4}">
  <dimension ref="A1:G25"/>
  <sheetViews>
    <sheetView showGridLines="0" zoomScale="136" workbookViewId="0">
      <selection activeCell="F12" sqref="F12"/>
    </sheetView>
  </sheetViews>
  <sheetFormatPr defaultColWidth="11.42578125" defaultRowHeight="15"/>
  <cols>
    <col min="1" max="1" width="23.7109375" customWidth="1"/>
    <col min="2" max="2" width="36.85546875" customWidth="1"/>
    <col min="3" max="3" width="8.140625" customWidth="1"/>
    <col min="4" max="4" width="12" customWidth="1"/>
    <col min="5" max="5" width="6" customWidth="1"/>
    <col min="6" max="6" width="21.7109375" customWidth="1"/>
  </cols>
  <sheetData>
    <row r="1" spans="1:7" ht="26.25">
      <c r="A1" s="100" t="s">
        <v>124</v>
      </c>
      <c r="B1" s="100"/>
      <c r="C1" s="100"/>
      <c r="D1" s="100"/>
      <c r="E1" s="100"/>
      <c r="F1" s="100"/>
    </row>
    <row r="2" spans="1:7" ht="18.95" customHeight="1">
      <c r="A2" s="101" t="s">
        <v>16</v>
      </c>
      <c r="B2" s="101"/>
      <c r="C2" s="101"/>
      <c r="D2" s="101"/>
      <c r="E2" s="101"/>
      <c r="F2" s="101"/>
    </row>
    <row r="3" spans="1:7" ht="2.1" customHeight="1">
      <c r="A3" s="68"/>
      <c r="B3" s="68"/>
      <c r="C3" s="68"/>
      <c r="D3" s="68"/>
      <c r="E3" s="68"/>
      <c r="F3" s="68"/>
    </row>
    <row r="4" spans="1:7" ht="23.25">
      <c r="A4" s="5"/>
      <c r="B4" s="5"/>
      <c r="C4" s="104" t="s">
        <v>125</v>
      </c>
      <c r="D4" s="104"/>
      <c r="E4" s="104"/>
      <c r="F4" s="104"/>
    </row>
    <row r="5" spans="1:7" ht="21">
      <c r="A5" s="5"/>
      <c r="B5" s="5"/>
      <c r="C5" s="105" t="s">
        <v>130</v>
      </c>
      <c r="D5" s="106"/>
      <c r="F5" s="71" t="s">
        <v>126</v>
      </c>
    </row>
    <row r="6" spans="1:7" ht="23.25">
      <c r="A6" s="72"/>
      <c r="B6" s="73" t="s">
        <v>114</v>
      </c>
      <c r="C6" s="107">
        <v>100</v>
      </c>
      <c r="D6" s="108"/>
      <c r="F6" s="55">
        <v>100</v>
      </c>
    </row>
    <row r="7" spans="1:7" ht="18.75">
      <c r="A7" s="49"/>
      <c r="B7" s="74" t="s">
        <v>120</v>
      </c>
      <c r="C7" s="109">
        <f>14.02%-6.08%-0.49%-0.56%</f>
        <v>6.8899999999999989E-2</v>
      </c>
      <c r="D7" s="110"/>
      <c r="F7" s="56">
        <f>14.02%-6.08%-0.49%-0.56%</f>
        <v>6.8899999999999989E-2</v>
      </c>
    </row>
    <row r="8" spans="1:7" ht="21">
      <c r="A8" s="54"/>
      <c r="B8" s="51" t="s">
        <v>131</v>
      </c>
      <c r="C8" s="96">
        <f>C6*(1-C7)</f>
        <v>93.11</v>
      </c>
      <c r="D8" s="97"/>
      <c r="F8" s="57">
        <f>F6*(1-F7)</f>
        <v>93.11</v>
      </c>
    </row>
    <row r="9" spans="1:7" ht="18.75">
      <c r="A9" s="5"/>
      <c r="B9" s="5"/>
      <c r="C9" s="98"/>
      <c r="D9" s="99"/>
      <c r="F9" s="58"/>
    </row>
    <row r="10" spans="1:7" ht="23.25">
      <c r="A10" s="102" t="s">
        <v>115</v>
      </c>
      <c r="B10" s="103"/>
      <c r="C10" s="112">
        <f>C8</f>
        <v>93.11</v>
      </c>
      <c r="D10" s="113"/>
      <c r="E10" s="69"/>
      <c r="F10" s="70">
        <f>F8</f>
        <v>93.11</v>
      </c>
      <c r="G10" t="s">
        <v>128</v>
      </c>
    </row>
    <row r="11" spans="1:7" ht="21">
      <c r="B11" s="52" t="s">
        <v>116</v>
      </c>
      <c r="C11" s="114">
        <v>0.26500000000000001</v>
      </c>
      <c r="D11" s="115"/>
      <c r="F11" s="59">
        <v>6.54E-2</v>
      </c>
    </row>
    <row r="12" spans="1:7" ht="21">
      <c r="B12" s="53" t="s">
        <v>117</v>
      </c>
      <c r="C12" s="116">
        <f>+C10*(1+C11)</f>
        <v>117.78415000000001</v>
      </c>
      <c r="D12" s="117"/>
      <c r="F12" s="60">
        <f>+F10*(1+F11)</f>
        <v>99.199393999999984</v>
      </c>
    </row>
    <row r="13" spans="1:7">
      <c r="A13" s="15"/>
      <c r="B13" s="15"/>
      <c r="C13" s="118"/>
      <c r="D13" s="119"/>
      <c r="F13" s="61"/>
    </row>
    <row r="14" spans="1:7" ht="18.75">
      <c r="A14" s="15"/>
      <c r="B14" s="75" t="s">
        <v>118</v>
      </c>
      <c r="C14" s="120">
        <f>C10</f>
        <v>93.11</v>
      </c>
      <c r="D14" s="121"/>
      <c r="E14" s="49"/>
      <c r="F14" s="76">
        <f>F10</f>
        <v>93.11</v>
      </c>
    </row>
    <row r="15" spans="1:7">
      <c r="A15" s="15"/>
      <c r="B15" s="15"/>
      <c r="C15" s="118"/>
      <c r="D15" s="119"/>
      <c r="F15" s="61"/>
    </row>
    <row r="16" spans="1:7" ht="18.75">
      <c r="A16" s="15"/>
      <c r="B16" s="77" t="s">
        <v>119</v>
      </c>
      <c r="C16" s="122">
        <f>C12-C10</f>
        <v>24.674150000000012</v>
      </c>
      <c r="D16" s="123"/>
      <c r="E16" s="49"/>
      <c r="F16" s="78">
        <f>F12-F10</f>
        <v>6.0893939999999844</v>
      </c>
    </row>
    <row r="17" spans="1:6">
      <c r="A17" s="15"/>
      <c r="B17" s="15"/>
    </row>
    <row r="18" spans="1:6" ht="15.75">
      <c r="B18" s="66" t="s">
        <v>121</v>
      </c>
      <c r="D18" s="67" t="s">
        <v>127</v>
      </c>
      <c r="E18" s="62"/>
      <c r="F18" s="62"/>
    </row>
    <row r="19" spans="1:6" ht="15.75">
      <c r="B19" s="65" t="s">
        <v>137</v>
      </c>
      <c r="D19" s="63"/>
      <c r="E19" s="50"/>
      <c r="F19" s="64" t="s">
        <v>122</v>
      </c>
    </row>
    <row r="20" spans="1:6" ht="15.75">
      <c r="F20" s="64" t="s">
        <v>132</v>
      </c>
    </row>
    <row r="21" spans="1:6" ht="15.75">
      <c r="F21" s="64" t="s">
        <v>123</v>
      </c>
    </row>
    <row r="22" spans="1:6" ht="9" customHeight="1">
      <c r="F22" s="64"/>
    </row>
    <row r="23" spans="1:6">
      <c r="A23" s="111" t="s">
        <v>129</v>
      </c>
      <c r="B23" s="111"/>
      <c r="C23" s="111"/>
      <c r="D23" s="111"/>
      <c r="E23" s="111"/>
      <c r="F23" s="111"/>
    </row>
    <row r="24" spans="1:6">
      <c r="A24" s="111"/>
      <c r="B24" s="111"/>
      <c r="C24" s="111"/>
      <c r="D24" s="111"/>
      <c r="E24" s="111"/>
      <c r="F24" s="111"/>
    </row>
    <row r="25" spans="1:6">
      <c r="A25" s="111"/>
      <c r="B25" s="111"/>
      <c r="C25" s="111"/>
      <c r="D25" s="111"/>
      <c r="E25" s="111"/>
      <c r="F25" s="111"/>
    </row>
  </sheetData>
  <mergeCells count="17">
    <mergeCell ref="A23:F25"/>
    <mergeCell ref="C10:D10"/>
    <mergeCell ref="C11:D11"/>
    <mergeCell ref="C12:D12"/>
    <mergeCell ref="C13:D13"/>
    <mergeCell ref="C14:D14"/>
    <mergeCell ref="C16:D16"/>
    <mergeCell ref="C15:D15"/>
    <mergeCell ref="C8:D8"/>
    <mergeCell ref="C9:D9"/>
    <mergeCell ref="A1:F1"/>
    <mergeCell ref="A2:F2"/>
    <mergeCell ref="A10:B10"/>
    <mergeCell ref="C4:F4"/>
    <mergeCell ref="C5:D5"/>
    <mergeCell ref="C6:D6"/>
    <mergeCell ref="C7:D7"/>
  </mergeCells>
  <hyperlinks>
    <hyperlink ref="A2" r:id="rId1" xr:uid="{86C28046-4AD9-0140-86A9-37179D0A062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LUCRO REAL</vt:lpstr>
      <vt:lpstr>LUCRO PRESUMIDO</vt:lpstr>
      <vt:lpstr>SIMPLES NACIONAL (IBS-CBS)</vt:lpstr>
      <vt:lpstr>SIMP, NACIONAL sem créd IBS</vt:lpstr>
      <vt:lpstr>COMPARATIVO</vt:lpstr>
      <vt:lpstr>'LUCRO PRESUMIDO'!Area_de_impressao</vt:lpstr>
      <vt:lpstr>'LUCRO REAL'!Area_de_impressao</vt:lpstr>
      <vt:lpstr>'SIMP, NACIONAL sem créd IBS'!Area_de_impressao</vt:lpstr>
      <vt:lpstr>'SIMPLES NACIONAL (IBS-CBS)'!Area_de_impressao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SERGIOPC</dc:creator>
  <cp:lastModifiedBy>SERGIO MATOS</cp:lastModifiedBy>
  <dcterms:created xsi:type="dcterms:W3CDTF">2024-01-06T15:47:48Z</dcterms:created>
  <dcterms:modified xsi:type="dcterms:W3CDTF">2026-06-22T21:06:01Z</dcterms:modified>
</cp:coreProperties>
</file>